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37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2703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7" t="inlineStr">
        <is>
          <t>OBS-LHHS-0111</t>
        </is>
      </c>
      <c r="B982" s="7" t="inlineStr">
        <is>
          <t>ACC-HHS-ASPR-TOTAL</t>
        </is>
      </c>
      <c r="C982" s="7" t="n">
        <v>2023</v>
      </c>
      <c r="D982" s="7" t="inlineStr">
        <is>
          <t>Enacted</t>
        </is>
      </c>
      <c r="E982" s="7" t="inlineStr">
        <is>
          <t>N/A</t>
        </is>
      </c>
      <c r="F982" s="7" t="str">
        <f>IFERROR(""&amp;INDEX('Bill Report Reference'!$E$2:$E$60,MATCH(INDEX(Account!$J$2:$J$131,MATCH($B982,Account!$A$2:$A$131,0))&amp;"-"&amp;$C982&amp;"-"&amp;$D982,'Bill Report Reference'!$I$2:$I$60,0)),"")</f>
        <v>P.L.117-328</v>
      </c>
      <c r="G982" s="7" t="str">
        <f>IFERROR(""&amp;INDEX('Bill Report Reference'!$F$2:$F$60,MATCH(INDEX(Account!$J$2:$J$131,MATCH($B982,Account!$A$2:$A$131,0))&amp;"-"&amp;$C982&amp;"-"&amp;$D982,'Bill Report Reference'!$I$2:$I$60,0)),"")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Reference'!$G$2:$G$60,MATCH(INDEX(Account!$J$2:$J$131,MATCH($B982,Account!$A$2:$A$131,0))&amp;"-"&amp;$C982&amp;"-"&amp;$D982,'Bill Report Reference'!$I$2:$I$60,0)),"")</f>
        <v>https://www.govinfo.gov/content/pkg/PLAW-117publ328/pdf/PLAW-117publ328.pdf</v>
      </c>
      <c r="T982" s="7" t="str">
        <f>IFERROR(""&amp;INDEX('Bill Report Reference'!$H$2:$H$60,MATCH(INDEX(Account!$J$2:$J$131,MATCH($B982,Account!$A$2:$A$131,0))&amp;"-"&amp;$C982&amp;"-"&amp;$D982,'Bill Report Reference'!$I$2:$I$60,0)),"")</f>
        <v>N/A</v>
      </c>
      <c r="U982" s="7"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Reference'!$E$2:$E$60,MATCH(INDEX(Account!$J$2:$J$131,MATCH($B984,Account!$A$2:$A$131,0))&amp;"-"&amp;$C984&amp;"-"&amp;$D984,'Bill Report Reference'!$I$2:$I$60,0)),"")</f>
        <v>PREX 2.8:2024/APP</v>
      </c>
      <c r="G984" s="7" t="str">
        <f>IFERROR(""&amp;INDEX('Bill Report Reference'!$F$2:$F$60,MATCH(INDEX(Account!$J$2:$J$131,MATCH($B984,Account!$A$2:$A$131,0))&amp;"-"&amp;$C984&amp;"-"&amp;$D984,'Bill Report Reference'!$I$2:$I$60,0)),"")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Reference'!$G$2:$G$60,MATCH(INDEX(Account!$J$2:$J$131,MATCH($B984,Account!$A$2:$A$131,0))&amp;"-"&amp;$C984&amp;"-"&amp;$D984,'Bill Report Reference'!$I$2:$I$60,0)),"")</f>
        <v>https://www.govinfo.gov/content/pkg/BUDGET-2024-APP/pdf/BUDGET-2024-APP.pdf</v>
      </c>
      <c r="T984" s="7" t="str">
        <f>IFERROR(""&amp;INDEX('Bill Report Reference'!$H$2:$H$60,MATCH(INDEX(Account!$J$2:$J$131,MATCH($B984,Account!$A$2:$A$131,0))&amp;"-"&amp;$C984&amp;"-"&amp;$D984,'Bill Report Reference'!$I$2:$I$60,0)),"")</f>
        <v>N/A</v>
      </c>
      <c r="U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Reference'!$E$2:$E$60,MATCH(INDEX(Account!$J$2:$J$131,MATCH($B985,Account!$A$2:$A$131,0))&amp;"-"&amp;$C985&amp;"-"&amp;$D985,'Bill Report Reference'!$I$2:$I$60,0)),"")</f>
        <v>S.2624</v>
      </c>
      <c r="G985" s="7" t="str">
        <f>IFERROR(""&amp;INDEX('Bill Report Reference'!$F$2:$F$60,MATCH(INDEX(Account!$J$2:$J$131,MATCH($B985,Account!$A$2:$A$131,0))&amp;"-"&amp;$C985&amp;"-"&amp;$D985,'Bill Report Reference'!$I$2:$I$60,0)),"")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Reference'!$G$2:$G$60,MATCH(INDEX(Account!$J$2:$J$131,MATCH($B985,Account!$A$2:$A$131,0))&amp;"-"&amp;$C985&amp;"-"&amp;$D985,'Bill Report Reference'!$I$2:$I$60,0)),"")</f>
        <v>https://www.govinfo.gov/content/pkg/BILLS-118s2624rs/pdf/BILLS-118s2624rs.pdf</v>
      </c>
      <c r="T985" s="7" t="str">
        <f>IFERROR(""&amp;INDEX('Bill Report Reference'!$H$2:$H$60,MATCH(INDEX(Account!$J$2:$J$131,MATCH($B985,Account!$A$2:$A$131,0))&amp;"-"&amp;$C985&amp;"-"&amp;$D985,'Bill Report Reference'!$I$2:$I$60,0)),"")</f>
        <v>https://www.congress.gov/118/crpt/srpt84/CRPT-118srpt84.pdf</v>
      </c>
      <c r="U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7" t="inlineStr">
        <is>
          <t>OBS-LHHS-0124</t>
        </is>
      </c>
      <c r="B995" s="7" t="inlineStr">
        <is>
          <t>ACC-HHS-CDC-TOTAL</t>
        </is>
      </c>
      <c r="C995" s="7" t="n">
        <v>2023</v>
      </c>
      <c r="D995" s="7" t="inlineStr">
        <is>
          <t>Enacted</t>
        </is>
      </c>
      <c r="E995" s="7" t="inlineStr">
        <is>
          <t>N/A</t>
        </is>
      </c>
      <c r="F995" s="7" t="str">
        <f>IFERROR(""&amp;INDEX('Bill Report Reference'!$E$2:$E$60,MATCH(INDEX(Account!$J$2:$J$131,MATCH($B995,Account!$A$2:$A$131,0))&amp;"-"&amp;$C995&amp;"-"&amp;$D995,'Bill Report Reference'!$I$2:$I$60,0)),"")</f>
        <v>P.L.117-328</v>
      </c>
      <c r="G995" s="7" t="str">
        <f>IFERROR(""&amp;INDEX('Bill Report Reference'!$F$2:$F$60,MATCH(INDEX(Account!$J$2:$J$131,MATCH($B995,Account!$A$2:$A$131,0))&amp;"-"&amp;$C995&amp;"-"&amp;$D995,'Bill Report Reference'!$I$2:$I$60,0)),"")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Reference'!$G$2:$G$60,MATCH(INDEX(Account!$J$2:$J$131,MATCH($B995,Account!$A$2:$A$131,0))&amp;"-"&amp;$C995&amp;"-"&amp;$D995,'Bill Report Reference'!$I$2:$I$60,0)),"")</f>
        <v>https://www.govinfo.gov/content/pkg/PLAW-117publ328/pdf/PLAW-117publ328.pdf</v>
      </c>
      <c r="T995" s="7" t="str">
        <f>IFERROR(""&amp;INDEX('Bill Report Reference'!$H$2:$H$60,MATCH(INDEX(Account!$J$2:$J$131,MATCH($B995,Account!$A$2:$A$131,0))&amp;"-"&amp;$C995&amp;"-"&amp;$D995,'Bill Report Reference'!$I$2:$I$60,0)),"")</f>
        <v>N/A</v>
      </c>
      <c r="U995" s="7"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7" t="inlineStr">
        <is>
          <t>OBS-LHHS-0128</t>
        </is>
      </c>
      <c r="B999" s="7" t="inlineStr">
        <is>
          <t>ACC-HHS-CDC-TOTAL</t>
        </is>
      </c>
      <c r="C999" s="7" t="n">
        <v>2024</v>
      </c>
      <c r="D999" s="7" t="inlineStr">
        <is>
          <t>President's Budget</t>
        </is>
      </c>
      <c r="E999" s="7" t="inlineStr">
        <is>
          <t>N/A</t>
        </is>
      </c>
      <c r="F999" s="7" t="str">
        <f>IFERROR(""&amp;INDEX('Bill Report Reference'!$E$2:$E$60,MATCH(INDEX(Account!$J$2:$J$131,MATCH($B999,Account!$A$2:$A$131,0))&amp;"-"&amp;$C999&amp;"-"&amp;$D999,'Bill Report Reference'!$I$2:$I$60,0)),"")</f>
        <v>PREX 2.8:2024/APP</v>
      </c>
      <c r="G999" s="7" t="str">
        <f>IFERROR(""&amp;INDEX('Bill Report Reference'!$F$2:$F$60,MATCH(INDEX(Account!$J$2:$J$131,MATCH($B999,Account!$A$2:$A$131,0))&amp;"-"&amp;$C999&amp;"-"&amp;$D999,'Bill Report Reference'!$I$2:$I$60,0)),"")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Reference'!$G$2:$G$60,MATCH(INDEX(Account!$J$2:$J$131,MATCH($B999,Account!$A$2:$A$131,0))&amp;"-"&amp;$C999&amp;"-"&amp;$D999,'Bill Report Reference'!$I$2:$I$60,0)),"")</f>
        <v>https://www.govinfo.gov/content/pkg/BUDGET-2024-APP/pdf/BUDGET-2024-APP.pdf</v>
      </c>
      <c r="T999" s="7" t="str">
        <f>IFERROR(""&amp;INDEX('Bill Report Reference'!$H$2:$H$60,MATCH(INDEX(Account!$J$2:$J$131,MATCH($B999,Account!$A$2:$A$131,0))&amp;"-"&amp;$C999&amp;"-"&amp;$D999,'Bill Report Reference'!$I$2:$I$60,0)),"")</f>
        <v>N/A</v>
      </c>
      <c r="U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7" t="inlineStr">
        <is>
          <t>OBS-LHHS-0130</t>
        </is>
      </c>
      <c r="B1001" s="7" t="inlineStr">
        <is>
          <t>ACC-HHS-CDC-TOTAL</t>
        </is>
      </c>
      <c r="C1001" s="7" t="n">
        <v>2024</v>
      </c>
      <c r="D1001" s="7" t="inlineStr">
        <is>
          <t>Senate Reported</t>
        </is>
      </c>
      <c r="E1001" s="7" t="inlineStr">
        <is>
          <t>Senate</t>
        </is>
      </c>
      <c r="F1001" s="7" t="str">
        <f>IFERROR(""&amp;INDEX('Bill Report Reference'!$E$2:$E$60,MATCH(INDEX(Account!$J$2:$J$131,MATCH($B1001,Account!$A$2:$A$131,0))&amp;"-"&amp;$C1001&amp;"-"&amp;$D1001,'Bill Report Reference'!$I$2:$I$60,0)),"")</f>
        <v>S.2624</v>
      </c>
      <c r="G1001" s="7" t="str">
        <f>IFERROR(""&amp;INDEX('Bill Report Reference'!$F$2:$F$60,MATCH(INDEX(Account!$J$2:$J$131,MATCH($B1001,Account!$A$2:$A$131,0))&amp;"-"&amp;$C1001&amp;"-"&amp;$D1001,'Bill Report Reference'!$I$2:$I$60,0)),"")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Reference'!$G$2:$G$60,MATCH(INDEX(Account!$J$2:$J$131,MATCH($B1001,Account!$A$2:$A$131,0))&amp;"-"&amp;$C1001&amp;"-"&amp;$D1001,'Bill Report Reference'!$I$2:$I$60,0)),"")</f>
        <v>https://www.govinfo.gov/content/pkg/BILLS-118s2624rs/pdf/BILLS-118s2624rs.pdf</v>
      </c>
      <c r="T1001" s="7" t="str">
        <f>IFERROR(""&amp;INDEX('Bill Report Reference'!$H$2:$H$60,MATCH(INDEX(Account!$J$2:$J$131,MATCH($B1001,Account!$A$2:$A$131,0))&amp;"-"&amp;$C1001&amp;"-"&amp;$D1001,'Bill Report Reference'!$I$2:$I$60,0)),"")</f>
        <v>https://www.congress.gov/118/crpt/srpt84/CRPT-118srpt84.pdf</v>
      </c>
      <c r="U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Reference'!$E$2:$E$60,MATCH(INDEX(Account!$J$2:$J$131,MATCH($B1206,Account!$A$2:$A$131,0))&amp;"-"&amp;$C1206&amp;"-"&amp;$D1206,'Bill Report Reference'!$I$2:$I$60,0)),"")</f>
        <v>P.L.117-328</v>
      </c>
      <c r="G1206" s="7" t="str">
        <f>IFERROR(""&amp;INDEX('Bill Report Reference'!$F$2:$F$60,MATCH(INDEX(Account!$J$2:$J$131,MATCH($B1206,Account!$A$2:$A$131,0))&amp;"-"&amp;$C1206&amp;"-"&amp;$D1206,'Bill Report Reference'!$I$2:$I$60,0)),"")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Reference'!$G$2:$G$60,MATCH(INDEX(Account!$J$2:$J$131,MATCH($B1206,Account!$A$2:$A$131,0))&amp;"-"&amp;$C1206&amp;"-"&amp;$D1206,'Bill Report Reference'!$I$2:$I$60,0)),"")</f>
        <v>https://www.govinfo.gov/content/pkg/PLAW-117publ328/pdf/PLAW-117publ328.pdf</v>
      </c>
      <c r="T1206" s="7" t="str">
        <f>IFERROR(""&amp;INDEX('Bill Report Reference'!$H$2:$H$60,MATCH(INDEX(Account!$J$2:$J$131,MATCH($B1206,Account!$A$2:$A$131,0))&amp;"-"&amp;$C1206&amp;"-"&amp;$D1206,'Bill Report Reference'!$I$2:$I$60,0)),"")</f>
        <v>N/A</v>
      </c>
      <c r="U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Reference'!$E$2:$E$60,MATCH(INDEX(Account!$J$2:$J$131,MATCH($B1218,Account!$A$2:$A$131,0))&amp;"-"&amp;$C1218&amp;"-"&amp;$D1218,'Bill Report Reference'!$I$2:$I$60,0)),"")</f>
        <v>S.2624</v>
      </c>
      <c r="G1218" s="7" t="str">
        <f>IFERROR(""&amp;INDEX('Bill Report Reference'!$F$2:$F$60,MATCH(INDEX(Account!$J$2:$J$131,MATCH($B1218,Account!$A$2:$A$131,0))&amp;"-"&amp;$C1218&amp;"-"&amp;$D1218,'Bill Report Reference'!$I$2:$I$60,0)),"")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Reference'!$G$2:$G$60,MATCH(INDEX(Account!$J$2:$J$131,MATCH($B1218,Account!$A$2:$A$131,0))&amp;"-"&amp;$C1218&amp;"-"&amp;$D1218,'Bill Report Reference'!$I$2:$I$60,0)),"")</f>
        <v>https://www.govinfo.gov/content/pkg/BILLS-118s2624rs/pdf/BILLS-118s2624rs.pdf</v>
      </c>
      <c r="T1218" s="7" t="str">
        <f>IFERROR(""&amp;INDEX('Bill Report Reference'!$H$2:$H$60,MATCH(INDEX(Account!$J$2:$J$131,MATCH($B1218,Account!$A$2:$A$131,0))&amp;"-"&amp;$C1218&amp;"-"&amp;$D1218,'Bill Report Reference'!$I$2:$I$60,0)),"")</f>
        <v>https://www.congress.gov/118/crpt/srpt84/CRPT-118srpt84.pdf</v>
      </c>
      <c r="U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7" t="inlineStr">
        <is>
          <t>OBS-LHHS-0432</t>
        </is>
      </c>
      <c r="B1303" s="7" t="inlineStr">
        <is>
          <t>ACC-HHS-TITLE-II-TOTAL</t>
        </is>
      </c>
      <c r="C1303" s="7" t="n">
        <v>2023</v>
      </c>
      <c r="D1303" s="7" t="inlineStr">
        <is>
          <t>Enacted</t>
        </is>
      </c>
      <c r="E1303" s="7" t="inlineStr">
        <is>
          <t>N/A</t>
        </is>
      </c>
      <c r="F1303" s="7" t="str">
        <f>IFERROR(""&amp;INDEX('Bill Report Reference'!$E$2:$E$60,MATCH(INDEX(Account!$J$2:$J$131,MATCH($B1303,Account!$A$2:$A$131,0))&amp;"-"&amp;$C1303&amp;"-"&amp;$D1303,'Bill Report Reference'!$I$2:$I$60,0)),"")</f>
        <v>P.L.117-328</v>
      </c>
      <c r="G1303" s="7" t="str">
        <f>IFERROR(""&amp;INDEX('Bill Report Reference'!$F$2:$F$60,MATCH(INDEX(Account!$J$2:$J$131,MATCH($B1303,Account!$A$2:$A$131,0))&amp;"-"&amp;$C1303&amp;"-"&amp;$D1303,'Bill Report Reference'!$I$2:$I$60,0)),"")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Reference'!$G$2:$G$60,MATCH(INDEX(Account!$J$2:$J$131,MATCH($B1303,Account!$A$2:$A$131,0))&amp;"-"&amp;$C1303&amp;"-"&amp;$D1303,'Bill Report Reference'!$I$2:$I$60,0)),"")</f>
        <v>https://www.govinfo.gov/content/pkg/PLAW-117publ328/pdf/PLAW-117publ328.pdf</v>
      </c>
      <c r="T1303" s="7" t="str">
        <f>IFERROR(""&amp;INDEX('Bill Report Reference'!$H$2:$H$60,MATCH(INDEX(Account!$J$2:$J$131,MATCH($B1303,Account!$A$2:$A$131,0))&amp;"-"&amp;$C1303&amp;"-"&amp;$D1303,'Bill Report Reference'!$I$2:$I$60,0)),"")</f>
        <v>N/A</v>
      </c>
      <c r="U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Reference'!$E$2:$E$60,MATCH(INDEX(Account!$J$2:$J$131,MATCH($B1306,Account!$A$2:$A$131,0))&amp;"-"&amp;$C1306&amp;"-"&amp;$D1306,'Bill Report Reference'!$I$2:$I$60,0)),"")</f>
        <v>PREX 2.8:2024/APP</v>
      </c>
      <c r="G1306" s="7" t="str">
        <f>IFERROR(""&amp;INDEX('Bill Report Reference'!$F$2:$F$60,MATCH(INDEX(Account!$J$2:$J$131,MATCH($B1306,Account!$A$2:$A$131,0))&amp;"-"&amp;$C1306&amp;"-"&amp;$D1306,'Bill Report Reference'!$I$2:$I$60,0)),"")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Reference'!$G$2:$G$60,MATCH(INDEX(Account!$J$2:$J$131,MATCH($B1306,Account!$A$2:$A$131,0))&amp;"-"&amp;$C1306&amp;"-"&amp;$D1306,'Bill Report Reference'!$I$2:$I$60,0)),"")</f>
        <v>https://www.govinfo.gov/content/pkg/BUDGET-2024-APP/pdf/BUDGET-2024-APP.pdf</v>
      </c>
      <c r="T1306" s="7" t="str">
        <f>IFERROR(""&amp;INDEX('Bill Report Reference'!$H$2:$H$60,MATCH(INDEX(Account!$J$2:$J$131,MATCH($B1306,Account!$A$2:$A$131,0))&amp;"-"&amp;$C1306&amp;"-"&amp;$D1306,'Bill Report Reference'!$I$2:$I$60,0)),"")</f>
        <v>N/A</v>
      </c>
      <c r="U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Reference'!$E$2:$E$60,MATCH(INDEX(Account!$J$2:$J$131,MATCH($B1307,Account!$A$2:$A$131,0))&amp;"-"&amp;$C1307&amp;"-"&amp;$D1307,'Bill Report Reference'!$I$2:$I$60,0)),"")</f>
        <v>S.2624</v>
      </c>
      <c r="G1307" s="7" t="str">
        <f>IFERROR(""&amp;INDEX('Bill Report Reference'!$F$2:$F$60,MATCH(INDEX(Account!$J$2:$J$131,MATCH($B1307,Account!$A$2:$A$131,0))&amp;"-"&amp;$C1307&amp;"-"&amp;$D1307,'Bill Report Reference'!$I$2:$I$60,0)),"")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Reference'!$G$2:$G$60,MATCH(INDEX(Account!$J$2:$J$131,MATCH($B1307,Account!$A$2:$A$131,0))&amp;"-"&amp;$C1307&amp;"-"&amp;$D1307,'Bill Report Reference'!$I$2:$I$60,0)),"")</f>
        <v>https://www.govinfo.gov/content/pkg/BILLS-118s2624rs/pdf/BILLS-118s2624rs.pdf</v>
      </c>
      <c r="T1307" s="7" t="str">
        <f>IFERROR(""&amp;INDEX('Bill Report Reference'!$H$2:$H$60,MATCH(INDEX(Account!$J$2:$J$131,MATCH($B1307,Account!$A$2:$A$131,0))&amp;"-"&amp;$C1307&amp;"-"&amp;$D1307,'Bill Report Reference'!$I$2:$I$60,0)),"")</f>
        <v>https://www.congress.gov/118/crpt/srpt84/CRPT-118srpt84.pdf</v>
      </c>
      <c r="U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Reference'!$E$2:$E$60,MATCH(INDEX(Account!$J$2:$J$131,MATCH($B1312,Account!$A$2:$A$131,0))&amp;"-"&amp;$C1312&amp;"-"&amp;$D1312,'Bill Report Reference'!$I$2:$I$60,0)),"")</f>
        <v>S.4942</v>
      </c>
      <c r="G1312" s="7" t="str">
        <f>IFERROR(""&amp;INDEX('Bill Report Reference'!$F$2:$F$60,MATCH(INDEX(Account!$J$2:$J$131,MATCH($B1312,Account!$A$2:$A$131,0))&amp;"-"&amp;$C1312&amp;"-"&amp;$D1312,'Bill Report Reference'!$I$2:$I$60,0)),"")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Reference'!$G$2:$G$60,MATCH(INDEX(Account!$J$2:$J$131,MATCH($B1312,Account!$A$2:$A$131,0))&amp;"-"&amp;$C1312&amp;"-"&amp;$D1312,'Bill Report Reference'!$I$2:$I$60,0)),"")</f>
        <v>https://www.govinfo.gov/content/pkg/BILLS-118s4942rs/pdf/BILLS-118s4942rs.pdf</v>
      </c>
      <c r="T1312" s="7" t="str">
        <f>IFERROR(""&amp;INDEX('Bill Report Reference'!$H$2:$H$60,MATCH(INDEX(Account!$J$2:$J$131,MATCH($B1312,Account!$A$2:$A$131,0))&amp;"-"&amp;$C1312&amp;"-"&amp;$D1312,'Bill Report Reference'!$I$2:$I$60,0)),"")</f>
        <v>https://www.congress.gov/118/crpt/srpt207/CRPT-118srpt207.pdf</v>
      </c>
      <c r="U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Reference'!$E$2:$E$60,MATCH(INDEX(Account!$J$2:$J$131,MATCH($B1320,Account!$A$2:$A$131,0))&amp;"-"&amp;$C1320&amp;"-"&amp;$D1320,'Bill Report Reference'!$I$2:$I$60,0)),"")</f>
        <v>S.2587</v>
      </c>
      <c r="G1320" s="7" t="str">
        <f>IFERROR(""&amp;INDEX('Bill Report Reference'!$F$2:$F$60,MATCH(INDEX(Account!$J$2:$J$131,MATCH($B1320,Account!$A$2:$A$131,0))&amp;"-"&amp;$C1320&amp;"-"&amp;$D1320,'Bill Report Reference'!$I$2:$I$60,0)),"")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Reference'!$G$2:$G$60,MATCH(INDEX(Account!$J$2:$J$131,MATCH($B1320,Account!$A$2:$A$131,0))&amp;"-"&amp;$C1320&amp;"-"&amp;$D1320,'Bill Report Reference'!$I$2:$I$60,0)),"")</f>
        <v>https://www.govinfo.gov/content/pkg/BILLS-119s2587rs/pdf/BILLS-119s2587rs.pdf</v>
      </c>
      <c r="T1320" s="7" t="str">
        <f>IFERROR(""&amp;INDEX('Bill Report Reference'!$H$2:$H$60,MATCH(INDEX(Account!$J$2:$J$131,MATCH($B1320,Account!$A$2:$A$131,0))&amp;"-"&amp;$C1320&amp;"-"&amp;$D1320,'Bill Report Reference'!$I$2:$I$60,0)),"")</f>
        <v>https://www.congress.gov/119/crpt/srpt55/CRPT-119srpt55.pdf</v>
      </c>
      <c r="U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Reference'!$E$2:$E$60,MATCH(INDEX(Account!$J$2:$J$131,MATCH($B1328,Account!$A$2:$A$131,0))&amp;"-"&amp;$C1328&amp;"-"&amp;$D1328,'Bill Report Reference'!$I$2:$I$60,0)),"")</f>
        <v>P.L.119-4</v>
      </c>
      <c r="G1328" s="7" t="str">
        <f>IFERROR(""&amp;INDEX('Bill Report Reference'!$F$2:$F$60,MATCH(INDEX(Account!$J$2:$J$131,MATCH($B1328,Account!$A$2:$A$131,0))&amp;"-"&amp;$C1328&amp;"-"&amp;$D1328,'Bill Report Reference'!$I$2:$I$60,0)),"")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Reference'!$G$2:$G$60,MATCH(INDEX(Account!$J$2:$J$131,MATCH($B1328,Account!$A$2:$A$131,0))&amp;"-"&amp;$C1328&amp;"-"&amp;$D1328,'Bill Report Reference'!$I$2:$I$60,0)),"")</f>
        <v>https://www.govinfo.gov/content/pkg/PLAW-119publ4/pdf/PLAW-119publ4.pdf</v>
      </c>
      <c r="T1328" s="7" t="str">
        <f>IFERROR(""&amp;INDEX('Bill Report Reference'!$H$2:$H$60,MATCH(INDEX(Account!$J$2:$J$131,MATCH($B1328,Account!$A$2:$A$131,0))&amp;"-"&amp;$C1328&amp;"-"&amp;$D1328,'Bill Report Reference'!$I$2:$I$60,0)),"")</f>
        <v>N/A</v>
      </c>
      <c r="U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7" t="inlineStr">
        <is>
          <t>OBS-LHHS-0465</t>
        </is>
      </c>
      <c r="B1336" s="7" t="inlineStr">
        <is>
          <t>ACC-HHS-CMS-MEDICAID</t>
        </is>
      </c>
      <c r="C1336" s="7" t="n">
        <v>2025</v>
      </c>
      <c r="D1336" s="7" t="inlineStr">
        <is>
          <t>Enacted</t>
        </is>
      </c>
      <c r="E1336" s="7" t="inlineStr">
        <is>
          <t>N/A</t>
        </is>
      </c>
      <c r="F1336" s="7" t="str">
        <f>IFERROR(""&amp;INDEX('Bill Report Reference'!$E$2:$E$60,MATCH(INDEX(Account!$J$2:$J$131,MATCH($B1336,Account!$A$2:$A$131,0))&amp;"-"&amp;$C1336&amp;"-"&amp;$D1336,'Bill Report Reference'!$I$2:$I$60,0)),"")</f>
        <v>P.L.119-4</v>
      </c>
      <c r="G1336" s="7" t="str">
        <f>IFERROR(""&amp;INDEX('Bill Report Reference'!$F$2:$F$60,MATCH(INDEX(Account!$J$2:$J$131,MATCH($B1336,Account!$A$2:$A$131,0))&amp;"-"&amp;$C1336&amp;"-"&amp;$D1336,'Bill Report Reference'!$I$2:$I$60,0)),"")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Reference'!$G$2:$G$60,MATCH(INDEX(Account!$J$2:$J$131,MATCH($B1336,Account!$A$2:$A$131,0))&amp;"-"&amp;$C1336&amp;"-"&amp;$D1336,'Bill Report Reference'!$I$2:$I$60,0)),"")</f>
        <v>https://www.govinfo.gov/content/pkg/PLAW-119publ4/pdf/PLAW-119publ4.pdf</v>
      </c>
      <c r="T1336" s="7" t="str">
        <f>IFERROR(""&amp;INDEX('Bill Report Reference'!$H$2:$H$60,MATCH(INDEX(Account!$J$2:$J$131,MATCH($B1336,Account!$A$2:$A$131,0))&amp;"-"&amp;$C1336&amp;"-"&amp;$D1336,'Bill Report Reference'!$I$2:$I$60,0)),"")</f>
        <v>N/A</v>
      </c>
      <c r="U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Reference'!$E$2:$E$60,MATCH(INDEX(Account!$J$2:$J$131,MATCH($B1337,Account!$A$2:$A$131,0))&amp;"-"&amp;$C1337&amp;"-"&amp;$D1337,'Bill Report Reference'!$I$2:$I$60,0)),"")</f>
        <v>P.L.119-4</v>
      </c>
      <c r="G1337" s="7" t="str">
        <f>IFERROR(""&amp;INDEX('Bill Report Reference'!$F$2:$F$60,MATCH(INDEX(Account!$J$2:$J$131,MATCH($B1337,Account!$A$2:$A$131,0))&amp;"-"&amp;$C1337&amp;"-"&amp;$D1337,'Bill Report Reference'!$I$2:$I$60,0)),"")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Reference'!$G$2:$G$60,MATCH(INDEX(Account!$J$2:$J$131,MATCH($B1337,Account!$A$2:$A$131,0))&amp;"-"&amp;$C1337&amp;"-"&amp;$D1337,'Bill Report Reference'!$I$2:$I$60,0)),"")</f>
        <v>https://www.govinfo.gov/content/pkg/PLAW-119publ4/pdf/PLAW-119publ4.pdf</v>
      </c>
      <c r="T1337" s="7" t="str">
        <f>IFERROR(""&amp;INDEX('Bill Report Reference'!$H$2:$H$60,MATCH(INDEX(Account!$J$2:$J$131,MATCH($B1337,Account!$A$2:$A$131,0))&amp;"-"&amp;$C1337&amp;"-"&amp;$D1337,'Bill Report Reference'!$I$2:$I$60,0)),"")</f>
        <v>N/A</v>
      </c>
      <c r="U1337" s="7" t="inlineStr">
        <is>
          <t>OBS-LHHS-0465</t>
        </is>
      </c>
    </row>
    <row r="1338">
      <c r="A1338" s="7" t="inlineStr">
        <is>
          <t>OBS-LHHS-0467</t>
        </is>
      </c>
      <c r="B1338" s="7" t="inlineStr">
        <is>
          <t>ACC-HHS-CMS-MEDICAID</t>
        </is>
      </c>
      <c r="C1338" s="7" t="n">
        <v>2025</v>
      </c>
      <c r="D1338" s="7" t="inlineStr">
        <is>
          <t>Enacted</t>
        </is>
      </c>
      <c r="E1338" s="7" t="inlineStr">
        <is>
          <t>N/A</t>
        </is>
      </c>
      <c r="F1338" s="7" t="str">
        <f>IFERROR(""&amp;INDEX('Bill Report Reference'!$E$2:$E$60,MATCH(INDEX(Account!$J$2:$J$131,MATCH($B1338,Account!$A$2:$A$131,0))&amp;"-"&amp;$C1338&amp;"-"&amp;$D1338,'Bill Report Reference'!$I$2:$I$60,0)),"")</f>
        <v>P.L.119-4</v>
      </c>
      <c r="G1338" s="7" t="str">
        <f>IFERROR(""&amp;INDEX('Bill Report Reference'!$F$2:$F$60,MATCH(INDEX(Account!$J$2:$J$131,MATCH($B1338,Account!$A$2:$A$131,0))&amp;"-"&amp;$C1338&amp;"-"&amp;$D1338,'Bill Report Reference'!$I$2:$I$60,0)),"")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Reference'!$G$2:$G$60,MATCH(INDEX(Account!$J$2:$J$131,MATCH($B1338,Account!$A$2:$A$131,0))&amp;"-"&amp;$C1338&amp;"-"&amp;$D1338,'Bill Report Reference'!$I$2:$I$60,0)),"")</f>
        <v>https://www.govinfo.gov/content/pkg/PLAW-119publ4/pdf/PLAW-119publ4.pdf</v>
      </c>
      <c r="T1338" s="7" t="str">
        <f>IFERROR(""&amp;INDEX('Bill Report Reference'!$H$2:$H$60,MATCH(INDEX(Account!$J$2:$J$131,MATCH($B1338,Account!$A$2:$A$131,0))&amp;"-"&amp;$C1338&amp;"-"&amp;$D1338,'Bill Report Reference'!$I$2:$I$60,0)),"")</f>
        <v>N/A</v>
      </c>
      <c r="U1338" s="7" t="inlineStr">
        <is>
          <t>OBS-LHHS-0465</t>
        </is>
      </c>
    </row>
    <row r="1339">
      <c r="A1339" s="7" t="inlineStr">
        <is>
          <t>OBS-LHHS-0468</t>
        </is>
      </c>
      <c r="B1339" s="7" t="inlineStr">
        <is>
          <t>ACC-HHS-CMS-MEDICAID</t>
        </is>
      </c>
      <c r="C1339" s="7" t="n">
        <v>2025</v>
      </c>
      <c r="D1339" s="7" t="inlineStr">
        <is>
          <t>Enacted</t>
        </is>
      </c>
      <c r="E1339" s="7" t="inlineStr">
        <is>
          <t>N/A</t>
        </is>
      </c>
      <c r="F1339" s="7" t="str">
        <f>IFERROR(""&amp;INDEX('Bill Report Reference'!$E$2:$E$60,MATCH(INDEX(Account!$J$2:$J$131,MATCH($B1339,Account!$A$2:$A$131,0))&amp;"-"&amp;$C1339&amp;"-"&amp;$D1339,'Bill Report Reference'!$I$2:$I$60,0)),"")</f>
        <v>P.L.119-4</v>
      </c>
      <c r="G1339" s="7" t="str">
        <f>IFERROR(""&amp;INDEX('Bill Report Reference'!$F$2:$F$60,MATCH(INDEX(Account!$J$2:$J$131,MATCH($B1339,Account!$A$2:$A$131,0))&amp;"-"&amp;$C1339&amp;"-"&amp;$D1339,'Bill Report Reference'!$I$2:$I$60,0)),"")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Reference'!$G$2:$G$60,MATCH(INDEX(Account!$J$2:$J$131,MATCH($B1339,Account!$A$2:$A$131,0))&amp;"-"&amp;$C1339&amp;"-"&amp;$D1339,'Bill Report Reference'!$I$2:$I$60,0)),"")</f>
        <v>https://www.govinfo.gov/content/pkg/PLAW-119publ4/pdf/PLAW-119publ4.pdf</v>
      </c>
      <c r="T1339" s="7" t="str">
        <f>IFERROR(""&amp;INDEX('Bill Report Reference'!$H$2:$H$60,MATCH(INDEX(Account!$J$2:$J$131,MATCH($B1339,Account!$A$2:$A$131,0))&amp;"-"&amp;$C1339&amp;"-"&amp;$D1339,'Bill Report Reference'!$I$2:$I$60,0)),"")</f>
        <v>N/A</v>
      </c>
      <c r="U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Reference'!$E$2:$E$60,MATCH(INDEX(Account!$J$2:$J$131,MATCH($B1342,Account!$A$2:$A$131,0))&amp;"-"&amp;$C1342&amp;"-"&amp;$D1342,'Bill Report Reference'!$I$2:$I$60,0)),"")</f>
        <v>P.L.119-4</v>
      </c>
      <c r="G1342" s="7" t="str">
        <f>IFERROR(""&amp;INDEX('Bill Report Reference'!$F$2:$F$60,MATCH(INDEX(Account!$J$2:$J$131,MATCH($B1342,Account!$A$2:$A$131,0))&amp;"-"&amp;$C1342&amp;"-"&amp;$D1342,'Bill Report Reference'!$I$2:$I$60,0)),"")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Reference'!$G$2:$G$60,MATCH(INDEX(Account!$J$2:$J$131,MATCH($B1342,Account!$A$2:$A$131,0))&amp;"-"&amp;$C1342&amp;"-"&amp;$D1342,'Bill Report Reference'!$I$2:$I$60,0)),"")</f>
        <v>https://www.govinfo.gov/content/pkg/PLAW-119publ4/pdf/PLAW-119publ4.pdf</v>
      </c>
      <c r="T1342" s="7" t="str">
        <f>IFERROR(""&amp;INDEX('Bill Report Reference'!$H$2:$H$60,MATCH(INDEX(Account!$J$2:$J$131,MATCH($B1342,Account!$A$2:$A$131,0))&amp;"-"&amp;$C1342&amp;"-"&amp;$D1342,'Bill Report Reference'!$I$2:$I$60,0)),"")</f>
        <v>N/A</v>
      </c>
      <c r="U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Reference'!$E$2:$E$60,MATCH(INDEX(Account!$J$2:$J$131,MATCH($B1343,Account!$A$2:$A$131,0))&amp;"-"&amp;$C1343&amp;"-"&amp;$D1343,'Bill Report Reference'!$I$2:$I$60,0)),"")</f>
        <v>P.L.119-4</v>
      </c>
      <c r="G1343" s="7" t="str">
        <f>IFERROR(""&amp;INDEX('Bill Report Reference'!$F$2:$F$60,MATCH(INDEX(Account!$J$2:$J$131,MATCH($B1343,Account!$A$2:$A$131,0))&amp;"-"&amp;$C1343&amp;"-"&amp;$D1343,'Bill Report Reference'!$I$2:$I$60,0)),"")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Reference'!$G$2:$G$60,MATCH(INDEX(Account!$J$2:$J$131,MATCH($B1343,Account!$A$2:$A$131,0))&amp;"-"&amp;$C1343&amp;"-"&amp;$D1343,'Bill Report Reference'!$I$2:$I$60,0)),"")</f>
        <v>https://www.govinfo.gov/content/pkg/PLAW-119publ4/pdf/PLAW-119publ4.pdf</v>
      </c>
      <c r="T1343" s="7" t="str">
        <f>IFERROR(""&amp;INDEX('Bill Report Reference'!$H$2:$H$60,MATCH(INDEX(Account!$J$2:$J$131,MATCH($B1343,Account!$A$2:$A$131,0))&amp;"-"&amp;$C1343&amp;"-"&amp;$D1343,'Bill Report Reference'!$I$2:$I$60,0)),"")</f>
        <v>N/A</v>
      </c>
      <c r="U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Reference'!$E$2:$E$60,MATCH(INDEX(Account!$J$2:$J$131,MATCH($B1348,Account!$A$2:$A$131,0))&amp;"-"&amp;$C1348&amp;"-"&amp;$D1348,'Bill Report Reference'!$I$2:$I$60,0)),"")</f>
        <v>P.L.119-4</v>
      </c>
      <c r="G1348" s="7" t="str">
        <f>IFERROR(""&amp;INDEX('Bill Report Reference'!$F$2:$F$60,MATCH(INDEX(Account!$J$2:$J$131,MATCH($B1348,Account!$A$2:$A$131,0))&amp;"-"&amp;$C1348&amp;"-"&amp;$D1348,'Bill Report Reference'!$I$2:$I$60,0)),"")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Reference'!$G$2:$G$60,MATCH(INDEX(Account!$J$2:$J$131,MATCH($B1348,Account!$A$2:$A$131,0))&amp;"-"&amp;$C1348&amp;"-"&amp;$D1348,'Bill Report Reference'!$I$2:$I$60,0)),"")</f>
        <v>https://www.govinfo.gov/content/pkg/PLAW-119publ4/pdf/PLAW-119publ4.pdf</v>
      </c>
      <c r="T1348" s="7" t="str">
        <f>IFERROR(""&amp;INDEX('Bill Report Reference'!$H$2:$H$60,MATCH(INDEX(Account!$J$2:$J$131,MATCH($B1348,Account!$A$2:$A$131,0))&amp;"-"&amp;$C1348&amp;"-"&amp;$D1348,'Bill Report Reference'!$I$2:$I$60,0)),"")</f>
        <v>N/A</v>
      </c>
      <c r="U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Reference'!$E$2:$E$60,MATCH(INDEX(Account!$J$2:$J$131,MATCH($B1349,Account!$A$2:$A$131,0))&amp;"-"&amp;$C1349&amp;"-"&amp;$D1349,'Bill Report Reference'!$I$2:$I$60,0)),"")</f>
        <v>P.L.119-4</v>
      </c>
      <c r="G1349" s="7" t="str">
        <f>IFERROR(""&amp;INDEX('Bill Report Reference'!$F$2:$F$60,MATCH(INDEX(Account!$J$2:$J$131,MATCH($B1349,Account!$A$2:$A$131,0))&amp;"-"&amp;$C1349&amp;"-"&amp;$D1349,'Bill Report Reference'!$I$2:$I$60,0)),"")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Reference'!$G$2:$G$60,MATCH(INDEX(Account!$J$2:$J$131,MATCH($B1349,Account!$A$2:$A$131,0))&amp;"-"&amp;$C1349&amp;"-"&amp;$D1349,'Bill Report Reference'!$I$2:$I$60,0)),"")</f>
        <v>https://www.govinfo.gov/content/pkg/PLAW-119publ4/pdf/PLAW-119publ4.pdf</v>
      </c>
      <c r="T1349" s="7" t="str">
        <f>IFERROR(""&amp;INDEX('Bill Report Reference'!$H$2:$H$60,MATCH(INDEX(Account!$J$2:$J$131,MATCH($B1349,Account!$A$2:$A$131,0))&amp;"-"&amp;$C1349&amp;"-"&amp;$D1349,'Bill Report Reference'!$I$2:$I$60,0)),"")</f>
        <v>N/A</v>
      </c>
      <c r="U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Reference'!$E$2:$E$60,MATCH(INDEX(Account!$J$2:$J$131,MATCH($B1355,Account!$A$2:$A$131,0))&amp;"-"&amp;$C1355&amp;"-"&amp;$D1355,'Bill Report Reference'!$I$2:$I$60,0)),"")</f>
        <v>P.L.119-4</v>
      </c>
      <c r="G1355" s="7" t="str">
        <f>IFERROR(""&amp;INDEX('Bill Report Reference'!$F$2:$F$60,MATCH(INDEX(Account!$J$2:$J$131,MATCH($B1355,Account!$A$2:$A$131,0))&amp;"-"&amp;$C1355&amp;"-"&amp;$D1355,'Bill Report Reference'!$I$2:$I$60,0)),"")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Reference'!$G$2:$G$60,MATCH(INDEX(Account!$J$2:$J$131,MATCH($B1355,Account!$A$2:$A$131,0))&amp;"-"&amp;$C1355&amp;"-"&amp;$D1355,'Bill Report Reference'!$I$2:$I$60,0)),"")</f>
        <v>https://www.govinfo.gov/content/pkg/PLAW-119publ4/pdf/PLAW-119publ4.pdf</v>
      </c>
      <c r="T1355" s="7" t="str">
        <f>IFERROR(""&amp;INDEX('Bill Report Reference'!$H$2:$H$60,MATCH(INDEX(Account!$J$2:$J$131,MATCH($B1355,Account!$A$2:$A$131,0))&amp;"-"&amp;$C1355&amp;"-"&amp;$D1355,'Bill Report Reference'!$I$2:$I$60,0)),"")</f>
        <v>N/A</v>
      </c>
      <c r="U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Reference'!$E$2:$E$60,MATCH(INDEX(Account!$J$2:$J$131,MATCH($B1356,Account!$A$2:$A$131,0))&amp;"-"&amp;$C1356&amp;"-"&amp;$D1356,'Bill Report Reference'!$I$2:$I$60,0)),"")</f>
        <v>P.L.119-4</v>
      </c>
      <c r="G1356" s="7" t="str">
        <f>IFERROR(""&amp;INDEX('Bill Report Reference'!$F$2:$F$60,MATCH(INDEX(Account!$J$2:$J$131,MATCH($B1356,Account!$A$2:$A$131,0))&amp;"-"&amp;$C1356&amp;"-"&amp;$D1356,'Bill Report Reference'!$I$2:$I$60,0)),"")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Reference'!$G$2:$G$60,MATCH(INDEX(Account!$J$2:$J$131,MATCH($B1356,Account!$A$2:$A$131,0))&amp;"-"&amp;$C1356&amp;"-"&amp;$D1356,'Bill Report Reference'!$I$2:$I$60,0)),"")</f>
        <v>https://www.govinfo.gov/content/pkg/PLAW-119publ4/pdf/PLAW-119publ4.pdf</v>
      </c>
      <c r="T1356" s="7" t="str">
        <f>IFERROR(""&amp;INDEX('Bill Report Reference'!$H$2:$H$60,MATCH(INDEX(Account!$J$2:$J$131,MATCH($B1356,Account!$A$2:$A$131,0))&amp;"-"&amp;$C1356&amp;"-"&amp;$D1356,'Bill Report Reference'!$I$2:$I$60,0)),"")</f>
        <v>N/A</v>
      </c>
      <c r="U1356" s="7"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7" t="inlineStr">
        <is>
          <t>OBS-LHHS-0488</t>
        </is>
      </c>
      <c r="B1359" s="7" t="inlineStr">
        <is>
          <t>ACC-HHS-TITLE-II-TOTAL</t>
        </is>
      </c>
      <c r="C1359" s="7" t="n">
        <v>2025</v>
      </c>
      <c r="D1359" s="7" t="inlineStr">
        <is>
          <t>Enacted</t>
        </is>
      </c>
      <c r="E1359" s="7" t="inlineStr">
        <is>
          <t>N/A</t>
        </is>
      </c>
      <c r="F1359" s="7" t="str">
        <f>IFERROR(""&amp;INDEX('Bill Report Reference'!$E$2:$E$60,MATCH(INDEX(Account!$J$2:$J$131,MATCH($B1359,Account!$A$2:$A$131,0))&amp;"-"&amp;$C1359&amp;"-"&amp;$D1359,'Bill Report Reference'!$I$2:$I$60,0)),"")</f>
        <v>P.L.119-4</v>
      </c>
      <c r="G1359" s="7" t="str">
        <f>IFERROR(""&amp;INDEX('Bill Report Reference'!$F$2:$F$60,MATCH(INDEX(Account!$J$2:$J$131,MATCH($B1359,Account!$A$2:$A$131,0))&amp;"-"&amp;$C1359&amp;"-"&amp;$D1359,'Bill Report Reference'!$I$2:$I$60,0)),"")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Reference'!$G$2:$G$60,MATCH(INDEX(Account!$J$2:$J$131,MATCH($B1359,Account!$A$2:$A$131,0))&amp;"-"&amp;$C1359&amp;"-"&amp;$D1359,'Bill Report Reference'!$I$2:$I$60,0)),"")</f>
        <v>https://www.govinfo.gov/content/pkg/PLAW-119publ4/pdf/PLAW-119publ4.pdf</v>
      </c>
      <c r="T1359" s="7" t="str">
        <f>IFERROR(""&amp;INDEX('Bill Report Reference'!$H$2:$H$60,MATCH(INDEX(Account!$J$2:$J$131,MATCH($B1359,Account!$A$2:$A$131,0))&amp;"-"&amp;$C1359&amp;"-"&amp;$D1359,'Bill Report Reference'!$I$2:$I$60,0)),"")</f>
        <v>N/A</v>
      </c>
      <c r="U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7" t="inlineStr">
        <is>
          <t>OBS-LHHS-0498</t>
        </is>
      </c>
      <c r="B1369" s="7" t="inlineStr">
        <is>
          <t>ACC-HHS-ACL-TOTAL</t>
        </is>
      </c>
      <c r="C1369" s="7" t="n">
        <v>2023</v>
      </c>
      <c r="D1369" s="7" t="inlineStr">
        <is>
          <t>House Reported</t>
        </is>
      </c>
      <c r="E1369" s="7" t="inlineStr">
        <is>
          <t>House</t>
        </is>
      </c>
      <c r="F1369" s="7" t="str">
        <f>IFERROR(""&amp;INDEX('Bill Report Reference'!$E$2:$E$60,MATCH(INDEX(Account!$J$2:$J$131,MATCH($B1369,Account!$A$2:$A$131,0))&amp;"-"&amp;$C1369&amp;"-"&amp;$D1369,'Bill Report Reference'!$I$2:$I$60,0)),"")</f>
        <v>H.R.8295</v>
      </c>
      <c r="G1369" s="7" t="str">
        <f>IFERROR(""&amp;INDEX('Bill Report Reference'!$F$2:$F$60,MATCH(INDEX(Account!$J$2:$J$131,MATCH($B1369,Account!$A$2:$A$131,0))&amp;"-"&amp;$C1369&amp;"-"&amp;$D1369,'Bill Report Reference'!$I$2:$I$60,0)),"")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Reference'!$G$2:$G$60,MATCH(INDEX(Account!$J$2:$J$131,MATCH($B1369,Account!$A$2:$A$131,0))&amp;"-"&amp;$C1369&amp;"-"&amp;$D1369,'Bill Report Reference'!$I$2:$I$60,0)),"")</f>
        <v>https://www.govinfo.gov/content/pkg/BILLS-117hr8295rh/pdf/BILLS-117hr8295rh.pdf</v>
      </c>
      <c r="T1369" s="7" t="str">
        <f>IFERROR(""&amp;INDEX('Bill Report Reference'!$H$2:$H$60,MATCH(INDEX(Account!$J$2:$J$131,MATCH($B1369,Account!$A$2:$A$131,0))&amp;"-"&amp;$C1369&amp;"-"&amp;$D1369,'Bill Report Reference'!$I$2:$I$60,0)),"")</f>
        <v>https://www.govinfo.gov/content/pkg/CRPT-117hrpt403/pdf/CRPT-117hrpt403.pdf</v>
      </c>
      <c r="U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7" t="inlineStr">
        <is>
          <t>OBS-LHHS-0500</t>
        </is>
      </c>
      <c r="B1371" s="7" t="inlineStr">
        <is>
          <t>ACC-HHS-ACL-TOTAL</t>
        </is>
      </c>
      <c r="C1371" s="7" t="n">
        <v>2023</v>
      </c>
      <c r="D1371" s="7" t="inlineStr">
        <is>
          <t>President's Budget</t>
        </is>
      </c>
      <c r="E1371" s="7" t="inlineStr">
        <is>
          <t>N/A</t>
        </is>
      </c>
      <c r="F1371" s="7" t="str">
        <f>IFERROR(""&amp;INDEX('Bill Report Reference'!$E$2:$E$60,MATCH(INDEX(Account!$J$2:$J$131,MATCH($B1371,Account!$A$2:$A$131,0))&amp;"-"&amp;$C1371&amp;"-"&amp;$D1371,'Bill Report Reference'!$I$2:$I$60,0)),"")</f>
        <v>PREX 2.8:2023/APP</v>
      </c>
      <c r="G1371" s="7" t="str">
        <f>IFERROR(""&amp;INDEX('Bill Report Reference'!$F$2:$F$60,MATCH(INDEX(Account!$J$2:$J$131,MATCH($B1371,Account!$A$2:$A$131,0))&amp;"-"&amp;$C1371&amp;"-"&amp;$D1371,'Bill Report Reference'!$I$2:$I$60,0)),"")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Reference'!$G$2:$G$60,MATCH(INDEX(Account!$J$2:$J$131,MATCH($B1371,Account!$A$2:$A$131,0))&amp;"-"&amp;$C1371&amp;"-"&amp;$D1371,'Bill Report Reference'!$I$2:$I$60,0)),"")</f>
        <v>https://www.govinfo.gov/content/pkg/BUDGET-2023-APP/pdf/BUDGET-2023-APP.pdf</v>
      </c>
      <c r="T1371" s="7" t="str">
        <f>IFERROR(""&amp;INDEX('Bill Report Reference'!$H$2:$H$60,MATCH(INDEX(Account!$J$2:$J$131,MATCH($B1371,Account!$A$2:$A$131,0))&amp;"-"&amp;$C1371&amp;"-"&amp;$D1371,'Bill Report Reference'!$I$2:$I$60,0)),"")</f>
        <v>N/A</v>
      </c>
      <c r="U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Reference'!$E$2:$E$60,MATCH(INDEX(Account!$J$2:$J$131,MATCH($B1407,Account!$A$2:$A$131,0))&amp;"-"&amp;$C1407&amp;"-"&amp;$D1407,'Bill Report Reference'!$I$2:$I$60,0)),"")</f>
        <v>H.R.8295</v>
      </c>
      <c r="G1407" s="7" t="str">
        <f>IFERROR(""&amp;INDEX('Bill Report Reference'!$F$2:$F$60,MATCH(INDEX(Account!$J$2:$J$131,MATCH($B1407,Account!$A$2:$A$131,0))&amp;"-"&amp;$C1407&amp;"-"&amp;$D1407,'Bill Report Reference'!$I$2:$I$60,0)),"")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Reference'!$G$2:$G$60,MATCH(INDEX(Account!$J$2:$J$131,MATCH($B1407,Account!$A$2:$A$131,0))&amp;"-"&amp;$C1407&amp;"-"&amp;$D1407,'Bill Report Reference'!$I$2:$I$60,0)),"")</f>
        <v>https://www.govinfo.gov/content/pkg/BILLS-117hr8295rh/pdf/BILLS-117hr8295rh.pdf</v>
      </c>
      <c r="T1407" s="7" t="str">
        <f>IFERROR(""&amp;INDEX('Bill Report Reference'!$H$2:$H$60,MATCH(INDEX(Account!$J$2:$J$131,MATCH($B1407,Account!$A$2:$A$131,0))&amp;"-"&amp;$C1407&amp;"-"&amp;$D1407,'Bill Report Reference'!$I$2:$I$60,0)),"")</f>
        <v>https://www.govinfo.gov/content/pkg/CRPT-117hrpt403/pdf/CRPT-117hrpt403.pdf</v>
      </c>
      <c r="U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Reference'!$E$2:$E$60,MATCH(INDEX(Account!$J$2:$J$131,MATCH($B1408,Account!$A$2:$A$131,0))&amp;"-"&amp;$C1408&amp;"-"&amp;$D1408,'Bill Report Reference'!$I$2:$I$60,0)),"")</f>
        <v>PREX 2.8:2023/APP</v>
      </c>
      <c r="G1408" s="7" t="str">
        <f>IFERROR(""&amp;INDEX('Bill Report Reference'!$F$2:$F$60,MATCH(INDEX(Account!$J$2:$J$131,MATCH($B1408,Account!$A$2:$A$131,0))&amp;"-"&amp;$C1408&amp;"-"&amp;$D1408,'Bill Report Reference'!$I$2:$I$60,0)),"")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unverified</t>
        </is>
      </c>
      <c r="S1408" s="7" t="str">
        <f>IFERROR(""&amp;INDEX('Bill Report Reference'!$G$2:$G$60,MATCH(INDEX(Account!$J$2:$J$131,MATCH($B1408,Account!$A$2:$A$131,0))&amp;"-"&amp;$C1408&amp;"-"&amp;$D1408,'Bill Report Reference'!$I$2:$I$60,0)),"")</f>
        <v>https://www.govinfo.gov/content/pkg/BUDGET-2023-APP/pdf/BUDGET-2023-APP.pdf</v>
      </c>
      <c r="T1408" s="7" t="str">
        <f>IFERROR(""&amp;INDEX('Bill Report Reference'!$H$2:$H$60,MATCH(INDEX(Account!$J$2:$J$131,MATCH($B1408,Account!$A$2:$A$131,0))&amp;"-"&amp;$C1408&amp;"-"&amp;$D1408,'Bill Report Reference'!$I$2:$I$60,0)),"")</f>
        <v>N/A</v>
      </c>
      <c r="U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7" t="inlineStr">
        <is>
          <t>OBS-LHHS-0548</t>
        </is>
      </c>
      <c r="B1419" s="7" t="inlineStr">
        <is>
          <t>ACC-HHS-ACL-TOTAL</t>
        </is>
      </c>
      <c r="C1419" s="7" t="n">
        <v>2023</v>
      </c>
      <c r="D1419" s="7" t="inlineStr">
        <is>
          <t>Senate Reported</t>
        </is>
      </c>
      <c r="E1419" s="7" t="inlineStr">
        <is>
          <t>Senate</t>
        </is>
      </c>
      <c r="F1419" s="7" t="str">
        <f>IFERROR(""&amp;INDEX('Bill Report Reference'!$E$2:$E$60,MATCH(INDEX(Account!$J$2:$J$131,MATCH($B1419,Account!$A$2:$A$131,0))&amp;"-"&amp;$C1419&amp;"-"&amp;$D1419,'Bill Report Reference'!$I$2:$I$60,0)),"")</f>
        <v>S.4659</v>
      </c>
      <c r="G1419" s="7" t="str">
        <f>IFERROR(""&amp;INDEX('Bill Report Reference'!$F$2:$F$60,MATCH(INDEX(Account!$J$2:$J$131,MATCH($B1419,Account!$A$2:$A$131,0))&amp;"-"&amp;$C1419&amp;"-"&amp;$D1419,'Bill Report Reference'!$I$2:$I$60,0)),"")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Reference'!$G$2:$G$60,MATCH(INDEX(Account!$J$2:$J$131,MATCH($B1419,Account!$A$2:$A$131,0))&amp;"-"&amp;$C1419&amp;"-"&amp;$D1419,'Bill Report Reference'!$I$2:$I$60,0)),"")</f>
        <v>https://www.govinfo.gov/content/pkg/BILLS-117s4659is/pdf/BILLS-117s4659is.pdf</v>
      </c>
      <c r="T1419" s="7" t="str">
        <f>IFERROR(""&amp;INDEX('Bill Report Reference'!$H$2:$H$60,MATCH(INDEX(Account!$J$2:$J$131,MATCH($B1419,Account!$A$2:$A$131,0))&amp;"-"&amp;$C1419&amp;"-"&amp;$D1419,'Bill Report Reference'!$I$2:$I$60,0)),"")</f>
        <v>https://www.appropriations.senate.gov/imo/media/doc/LHHSFY23REPT.pdf</v>
      </c>
      <c r="U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Reference'!$E$2:$E$60,MATCH(INDEX(Account!$J$2:$J$131,MATCH($B1420,Account!$A$2:$A$131,0))&amp;"-"&amp;$C1420&amp;"-"&amp;$D1420,'Bill Report Reference'!$I$2:$I$60,0)),"")</f>
        <v>S.4659</v>
      </c>
      <c r="G1420" s="7" t="str">
        <f>IFERROR(""&amp;INDEX('Bill Report Reference'!$F$2:$F$60,MATCH(INDEX(Account!$J$2:$J$131,MATCH($B1420,Account!$A$2:$A$131,0))&amp;"-"&amp;$C1420&amp;"-"&amp;$D1420,'Bill Report Reference'!$I$2:$I$60,0)),"")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Reference'!$G$2:$G$60,MATCH(INDEX(Account!$J$2:$J$131,MATCH($B1420,Account!$A$2:$A$131,0))&amp;"-"&amp;$C1420&amp;"-"&amp;$D1420,'Bill Report Reference'!$I$2:$I$60,0)),"")</f>
        <v>https://www.govinfo.gov/content/pkg/BILLS-117s4659is/pdf/BILLS-117s4659is.pdf</v>
      </c>
      <c r="T1420" s="7" t="str">
        <f>IFERROR(""&amp;INDEX('Bill Report Reference'!$H$2:$H$60,MATCH(INDEX(Account!$J$2:$J$131,MATCH($B1420,Account!$A$2:$A$131,0))&amp;"-"&amp;$C1420&amp;"-"&amp;$D1420,'Bill Report Reference'!$I$2:$I$60,0)),"")</f>
        <v>https://www.appropriations.senate.gov/imo/media/doc/LHHSFY23REPT.pdf</v>
      </c>
      <c r="U1420" s="7"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Reference'!$E$2:$E$60,MATCH(INDEX(Account!$J$2:$J$131,MATCH($B1438,Account!$A$2:$A$131,0))&amp;"-"&amp;$C1438&amp;"-"&amp;$D1438,'Bill Report Reference'!$I$2:$I$60,0)),"")</f>
        <v>S.4659</v>
      </c>
      <c r="G1438" s="7" t="str">
        <f>IFERROR(""&amp;INDEX('Bill Report Reference'!$F$2:$F$60,MATCH(INDEX(Account!$J$2:$J$131,MATCH($B1438,Account!$A$2:$A$131,0))&amp;"-"&amp;$C1438&amp;"-"&amp;$D1438,'Bill Report Reference'!$I$2:$I$60,0)),"")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Reference'!$G$2:$G$60,MATCH(INDEX(Account!$J$2:$J$131,MATCH($B1438,Account!$A$2:$A$131,0))&amp;"-"&amp;$C1438&amp;"-"&amp;$D1438,'Bill Report Reference'!$I$2:$I$60,0)),"")</f>
        <v>https://www.govinfo.gov/content/pkg/BILLS-117s4659is/pdf/BILLS-117s4659is.pdf</v>
      </c>
      <c r="T1438" s="7" t="str">
        <f>IFERROR(""&amp;INDEX('Bill Report Reference'!$H$2:$H$60,MATCH(INDEX(Account!$J$2:$J$131,MATCH($B1438,Account!$A$2:$A$131,0))&amp;"-"&amp;$C1438&amp;"-"&amp;$D1438,'Bill Report Reference'!$I$2:$I$60,0)),"")</f>
        <v>https://www.appropriations.senate.gov/imo/media/doc/LHHSFY23REPT.pdf</v>
      </c>
      <c r="U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Reference'!$E$2:$E$60,MATCH(INDEX(Account!$J$2:$J$131,MATCH($B1474,Account!$A$2:$A$131,0))&amp;"-"&amp;$C1474&amp;"-"&amp;$D1474,'Bill Report Reference'!$I$2:$I$60,0)),"")</f>
        <v>H.R.8295</v>
      </c>
      <c r="G1474" s="7" t="str">
        <f>IFERROR(""&amp;INDEX('Bill Report Reference'!$F$2:$F$60,MATCH(INDEX(Account!$J$2:$J$131,MATCH($B1474,Account!$A$2:$A$131,0))&amp;"-"&amp;$C1474&amp;"-"&amp;$D1474,'Bill Report Reference'!$I$2:$I$60,0)),"")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Reference'!$G$2:$G$60,MATCH(INDEX(Account!$J$2:$J$131,MATCH($B1474,Account!$A$2:$A$131,0))&amp;"-"&amp;$C1474&amp;"-"&amp;$D1474,'Bill Report Reference'!$I$2:$I$60,0)),"")</f>
        <v>https://www.govinfo.gov/content/pkg/BILLS-117hr8295rh/pdf/BILLS-117hr8295rh.pdf</v>
      </c>
      <c r="T1474" s="7" t="str">
        <f>IFERROR(""&amp;INDEX('Bill Report Reference'!$H$2:$H$60,MATCH(INDEX(Account!$J$2:$J$131,MATCH($B1474,Account!$A$2:$A$131,0))&amp;"-"&amp;$C1474&amp;"-"&amp;$D1474,'Bill Report Reference'!$I$2:$I$60,0)),"")</f>
        <v>https://www.govinfo.gov/content/pkg/CRPT-117hrpt403/pdf/CRPT-117hrpt403.pdf</v>
      </c>
      <c r="U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Reference'!$E$2:$E$60,MATCH(INDEX(Account!$J$2:$J$131,MATCH($B1475,Account!$A$2:$A$131,0))&amp;"-"&amp;$C1475&amp;"-"&amp;$D1475,'Bill Report Reference'!$I$2:$I$60,0)),"")</f>
        <v>PREX 2.8:2023/APP</v>
      </c>
      <c r="G1475" s="7" t="str">
        <f>IFERROR(""&amp;INDEX('Bill Report Reference'!$F$2:$F$60,MATCH(INDEX(Account!$J$2:$J$131,MATCH($B1475,Account!$A$2:$A$131,0))&amp;"-"&amp;$C1475&amp;"-"&amp;$D1475,'Bill Report Reference'!$I$2:$I$60,0)),"")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unverified</t>
        </is>
      </c>
      <c r="S1475" s="7" t="str">
        <f>IFERROR(""&amp;INDEX('Bill Report Reference'!$G$2:$G$60,MATCH(INDEX(Account!$J$2:$J$131,MATCH($B1475,Account!$A$2:$A$131,0))&amp;"-"&amp;$C1475&amp;"-"&amp;$D1475,'Bill Report Reference'!$I$2:$I$60,0)),"")</f>
        <v>https://www.govinfo.gov/content/pkg/BUDGET-2023-APP/pdf/BUDGET-2023-APP.pdf</v>
      </c>
      <c r="T1475" s="7" t="str">
        <f>IFERROR(""&amp;INDEX('Bill Report Reference'!$H$2:$H$60,MATCH(INDEX(Account!$J$2:$J$131,MATCH($B1475,Account!$A$2:$A$131,0))&amp;"-"&amp;$C1475&amp;"-"&amp;$D1475,'Bill Report Reference'!$I$2:$I$60,0)),"")</f>
        <v>N/A</v>
      </c>
      <c r="U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Reference'!$E$2:$E$60,MATCH(INDEX(Account!$J$2:$J$131,MATCH($B1575,Account!$A$2:$A$131,0))&amp;"-"&amp;$C1575&amp;"-"&amp;$D1575,'Bill Report Reference'!$I$2:$I$60,0)),"")</f>
        <v>P.L.117-328</v>
      </c>
      <c r="G1575" s="7" t="str">
        <f>IFERROR(""&amp;INDEX('Bill Report Reference'!$F$2:$F$60,MATCH(INDEX(Account!$J$2:$J$131,MATCH($B1575,Account!$A$2:$A$131,0))&amp;"-"&amp;$C1575&amp;"-"&amp;$D1575,'Bill Report Reference'!$I$2:$I$60,0)),"")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Reference'!$G$2:$G$60,MATCH(INDEX(Account!$J$2:$J$131,MATCH($B1575,Account!$A$2:$A$131,0))&amp;"-"&amp;$C1575&amp;"-"&amp;$D1575,'Bill Report Reference'!$I$2:$I$60,0)),"")</f>
        <v>https://www.govinfo.gov/content/pkg/PLAW-117publ328/pdf/PLAW-117publ328.pdf</v>
      </c>
      <c r="T1575" s="7" t="str">
        <f>IFERROR(""&amp;INDEX('Bill Report Reference'!$H$2:$H$60,MATCH(INDEX(Account!$J$2:$J$131,MATCH($B1575,Account!$A$2:$A$131,0))&amp;"-"&amp;$C1575&amp;"-"&amp;$D1575,'Bill Report Reference'!$I$2:$I$60,0)),"")</f>
        <v>N/A</v>
      </c>
      <c r="U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Reference'!$E$2:$E$60,MATCH(INDEX(Account!$J$2:$J$131,MATCH($B1577,Account!$A$2:$A$131,0))&amp;"-"&amp;$C1577&amp;"-"&amp;$D1577,'Bill Report Reference'!$I$2:$I$60,0)),"")</f>
        <v>PREX 2.8:2024/APP</v>
      </c>
      <c r="G1577" s="7" t="str">
        <f>IFERROR(""&amp;INDEX('Bill Report Reference'!$F$2:$F$60,MATCH(INDEX(Account!$J$2:$J$131,MATCH($B1577,Account!$A$2:$A$131,0))&amp;"-"&amp;$C1577&amp;"-"&amp;$D1577,'Bill Report Reference'!$I$2:$I$60,0)),"")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Reference'!$G$2:$G$60,MATCH(INDEX(Account!$J$2:$J$131,MATCH($B1577,Account!$A$2:$A$131,0))&amp;"-"&amp;$C1577&amp;"-"&amp;$D1577,'Bill Report Reference'!$I$2:$I$60,0)),"")</f>
        <v>https://www.govinfo.gov/content/pkg/BUDGET-2024-APP/pdf/BUDGET-2024-APP.pdf</v>
      </c>
      <c r="T1577" s="7" t="str">
        <f>IFERROR(""&amp;INDEX('Bill Report Reference'!$H$2:$H$60,MATCH(INDEX(Account!$J$2:$J$131,MATCH($B1577,Account!$A$2:$A$131,0))&amp;"-"&amp;$C1577&amp;"-"&amp;$D1577,'Bill Report Reference'!$I$2:$I$60,0)),"")</f>
        <v>N/A</v>
      </c>
      <c r="U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Reference'!$E$2:$E$60,MATCH(INDEX(Account!$J$2:$J$131,MATCH($B1578,Account!$A$2:$A$131,0))&amp;"-"&amp;$C1578&amp;"-"&amp;$D1578,'Bill Report Reference'!$I$2:$I$60,0)),"")</f>
        <v>S.2624</v>
      </c>
      <c r="G1578" s="7" t="str">
        <f>IFERROR(""&amp;INDEX('Bill Report Reference'!$F$2:$F$60,MATCH(INDEX(Account!$J$2:$J$131,MATCH($B1578,Account!$A$2:$A$131,0))&amp;"-"&amp;$C1578&amp;"-"&amp;$D1578,'Bill Report Reference'!$I$2:$I$60,0)),"")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Reference'!$G$2:$G$60,MATCH(INDEX(Account!$J$2:$J$131,MATCH($B1578,Account!$A$2:$A$131,0))&amp;"-"&amp;$C1578&amp;"-"&amp;$D1578,'Bill Report Reference'!$I$2:$I$60,0)),"")</f>
        <v>https://www.govinfo.gov/content/pkg/BILLS-118s2624rs/pdf/BILLS-118s2624rs.pdf</v>
      </c>
      <c r="T1578" s="7" t="str">
        <f>IFERROR(""&amp;INDEX('Bill Report Reference'!$H$2:$H$60,MATCH(INDEX(Account!$J$2:$J$131,MATCH($B1578,Account!$A$2:$A$131,0))&amp;"-"&amp;$C1578&amp;"-"&amp;$D1578,'Bill Report Reference'!$I$2:$I$60,0)),"")</f>
        <v>https://www.congress.gov/118/crpt/srpt84/CRPT-118srpt84.pdf</v>
      </c>
      <c r="U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Reference'!$E$2:$E$60,MATCH(INDEX(Account!$J$2:$J$131,MATCH($B1589,Account!$A$2:$A$131,0))&amp;"-"&amp;$C1589&amp;"-"&amp;$D1589,'Bill Report Reference'!$I$2:$I$60,0)),"")</f>
        <v>P.L.117-328</v>
      </c>
      <c r="G1589" s="7" t="str">
        <f>IFERROR(""&amp;INDEX('Bill Report Reference'!$F$2:$F$60,MATCH(INDEX(Account!$J$2:$J$131,MATCH($B1589,Account!$A$2:$A$131,0))&amp;"-"&amp;$C1589&amp;"-"&amp;$D1589,'Bill Report Reference'!$I$2:$I$60,0)),"")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Reference'!$G$2:$G$60,MATCH(INDEX(Account!$J$2:$J$131,MATCH($B1589,Account!$A$2:$A$131,0))&amp;"-"&amp;$C1589&amp;"-"&amp;$D1589,'Bill Report Reference'!$I$2:$I$60,0)),"")</f>
        <v>https://www.govinfo.gov/content/pkg/PLAW-117publ328/pdf/PLAW-117publ328.pdf</v>
      </c>
      <c r="T1589" s="7" t="str">
        <f>IFERROR(""&amp;INDEX('Bill Report Reference'!$H$2:$H$60,MATCH(INDEX(Account!$J$2:$J$131,MATCH($B1589,Account!$A$2:$A$131,0))&amp;"-"&amp;$C1589&amp;"-"&amp;$D1589,'Bill Report Reference'!$I$2:$I$60,0)),"")</f>
        <v>N/A</v>
      </c>
      <c r="U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Reference'!$E$2:$E$60,MATCH(INDEX(Account!$J$2:$J$131,MATCH($B1590,Account!$A$2:$A$131,0))&amp;"-"&amp;$C1590&amp;"-"&amp;$D1590,'Bill Report Reference'!$I$2:$I$60,0)),"")</f>
        <v>P.L.118-47</v>
      </c>
      <c r="G1590" s="7" t="str">
        <f>IFERROR(""&amp;INDEX('Bill Report Reference'!$F$2:$F$60,MATCH(INDEX(Account!$J$2:$J$131,MATCH($B1590,Account!$A$2:$A$131,0))&amp;"-"&amp;$C1590&amp;"-"&amp;$D1590,'Bill Report Reference'!$I$2:$I$60,0)),"")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unverified</t>
        </is>
      </c>
      <c r="S1590" s="7" t="str">
        <f>IFERROR(""&amp;INDEX('Bill Report Reference'!$G$2:$G$60,MATCH(INDEX(Account!$J$2:$J$131,MATCH($B1590,Account!$A$2:$A$131,0))&amp;"-"&amp;$C1590&amp;"-"&amp;$D1590,'Bill Report Reference'!$I$2:$I$60,0)),"")</f>
        <v>https://www.govinfo.gov/content/pkg/PLAW-118publ47/pdf/PLAW-118publ47.pdf</v>
      </c>
      <c r="T1590" s="7" t="str">
        <f>IFERROR(""&amp;INDEX('Bill Report Reference'!$H$2:$H$60,MATCH(INDEX(Account!$J$2:$J$131,MATCH($B1590,Account!$A$2:$A$131,0))&amp;"-"&amp;$C1590&amp;"-"&amp;$D1590,'Bill Report Reference'!$I$2:$I$60,0)),"")</f>
        <v>N/A</v>
      </c>
      <c r="U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Reference'!$E$2:$E$60,MATCH(INDEX(Account!$J$2:$J$131,MATCH($B1591,Account!$A$2:$A$131,0))&amp;"-"&amp;$C1591&amp;"-"&amp;$D1591,'Bill Report Reference'!$I$2:$I$60,0)),"")</f>
        <v>PREX 2.8:2024/APP</v>
      </c>
      <c r="G1591" s="7" t="str">
        <f>IFERROR(""&amp;INDEX('Bill Report Reference'!$F$2:$F$60,MATCH(INDEX(Account!$J$2:$J$131,MATCH($B1591,Account!$A$2:$A$131,0))&amp;"-"&amp;$C1591&amp;"-"&amp;$D1591,'Bill Report Reference'!$I$2:$I$60,0)),"")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Reference'!$G$2:$G$60,MATCH(INDEX(Account!$J$2:$J$131,MATCH($B1591,Account!$A$2:$A$131,0))&amp;"-"&amp;$C1591&amp;"-"&amp;$D1591,'Bill Report Reference'!$I$2:$I$60,0)),"")</f>
        <v>https://www.govinfo.gov/content/pkg/BUDGET-2024-APP/pdf/BUDGET-2024-APP.pdf</v>
      </c>
      <c r="T1591" s="7" t="str">
        <f>IFERROR(""&amp;INDEX('Bill Report Reference'!$H$2:$H$60,MATCH(INDEX(Account!$J$2:$J$131,MATCH($B1591,Account!$A$2:$A$131,0))&amp;"-"&amp;$C1591&amp;"-"&amp;$D1591,'Bill Report Reference'!$I$2:$I$60,0)),"")</f>
        <v>N/A</v>
      </c>
      <c r="U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Reference'!$E$2:$E$60,MATCH(INDEX(Account!$J$2:$J$131,MATCH($B1592,Account!$A$2:$A$131,0))&amp;"-"&amp;$C1592&amp;"-"&amp;$D1592,'Bill Report Reference'!$I$2:$I$60,0)),"")</f>
        <v>S.2624</v>
      </c>
      <c r="G1592" s="7" t="str">
        <f>IFERROR(""&amp;INDEX('Bill Report Reference'!$F$2:$F$60,MATCH(INDEX(Account!$J$2:$J$131,MATCH($B1592,Account!$A$2:$A$131,0))&amp;"-"&amp;$C1592&amp;"-"&amp;$D1592,'Bill Report Reference'!$I$2:$I$60,0)),"")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Reference'!$G$2:$G$60,MATCH(INDEX(Account!$J$2:$J$131,MATCH($B1592,Account!$A$2:$A$131,0))&amp;"-"&amp;$C1592&amp;"-"&amp;$D1592,'Bill Report Reference'!$I$2:$I$60,0)),"")</f>
        <v>https://www.govinfo.gov/content/pkg/BILLS-118s2624rs/pdf/BILLS-118s2624rs.pdf</v>
      </c>
      <c r="T1592" s="7" t="str">
        <f>IFERROR(""&amp;INDEX('Bill Report Reference'!$H$2:$H$60,MATCH(INDEX(Account!$J$2:$J$131,MATCH($B1592,Account!$A$2:$A$131,0))&amp;"-"&amp;$C1592&amp;"-"&amp;$D1592,'Bill Report Reference'!$I$2:$I$60,0)),"")</f>
        <v>https://www.congress.gov/118/crpt/srpt84/CRPT-118srpt84.pdf</v>
      </c>
      <c r="U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Reference'!$E$2:$E$60,MATCH(INDEX(Account!$J$2:$J$131,MATCH($B1594,Account!$A$2:$A$131,0))&amp;"-"&amp;$C1594&amp;"-"&amp;$D1594,'Bill Report Reference'!$I$2:$I$60,0)),"")</f>
        <v>H.R.9029</v>
      </c>
      <c r="G1594" s="7" t="str">
        <f>IFERROR(""&amp;INDEX('Bill Report Reference'!$F$2:$F$60,MATCH(INDEX(Account!$J$2:$J$131,MATCH($B1594,Account!$A$2:$A$131,0))&amp;"-"&amp;$C1594&amp;"-"&amp;$D1594,'Bill Report Reference'!$I$2:$I$60,0)),"")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Reference'!$G$2:$G$60,MATCH(INDEX(Account!$J$2:$J$131,MATCH($B1594,Account!$A$2:$A$131,0))&amp;"-"&amp;$C1594&amp;"-"&amp;$D1594,'Bill Report Reference'!$I$2:$I$60,0)),"")</f>
        <v>https://www.govinfo.gov/content/pkg/BILLS-118hr9029rh/pdf/BILLS-118hr9029rh.pdf</v>
      </c>
      <c r="T1594" s="7" t="str">
        <f>IFERROR(""&amp;INDEX('Bill Report Reference'!$H$2:$H$60,MATCH(INDEX(Account!$J$2:$J$131,MATCH($B1594,Account!$A$2:$A$131,0))&amp;"-"&amp;$C1594&amp;"-"&amp;$D1594,'Bill Report Reference'!$I$2:$I$60,0)),"")</f>
        <v>https://www.congress.gov/118/crpt/hrpt585/CRPT-118hrpt585.pdf</v>
      </c>
      <c r="U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Reference'!$E$2:$E$60,MATCH(INDEX(Account!$J$2:$J$131,MATCH($B1595,Account!$A$2:$A$131,0))&amp;"-"&amp;$C1595&amp;"-"&amp;$D1595,'Bill Report Reference'!$I$2:$I$60,0)),"")</f>
        <v>PREX 2.8:2025/APP</v>
      </c>
      <c r="G1595" s="7" t="str">
        <f>IFERROR(""&amp;INDEX('Bill Report Reference'!$F$2:$F$60,MATCH(INDEX(Account!$J$2:$J$131,MATCH($B1595,Account!$A$2:$A$131,0))&amp;"-"&amp;$C1595&amp;"-"&amp;$D1595,'Bill Report Reference'!$I$2:$I$60,0)),"")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unverified</t>
        </is>
      </c>
      <c r="S1595" s="7" t="str">
        <f>IFERROR(""&amp;INDEX('Bill Report Reference'!$G$2:$G$60,MATCH(INDEX(Account!$J$2:$J$131,MATCH($B1595,Account!$A$2:$A$131,0))&amp;"-"&amp;$C1595&amp;"-"&amp;$D1595,'Bill Report Reference'!$I$2:$I$60,0)),"")</f>
        <v>https://www.govinfo.gov/content/pkg/BUDGET-2025-APP/pdf/BUDGET-2025-APP.pdf</v>
      </c>
      <c r="T1595" s="7" t="str">
        <f>IFERROR(""&amp;INDEX('Bill Report Reference'!$H$2:$H$60,MATCH(INDEX(Account!$J$2:$J$131,MATCH($B1595,Account!$A$2:$A$131,0))&amp;"-"&amp;$C1595&amp;"-"&amp;$D1595,'Bill Report Reference'!$I$2:$I$60,0)),"")</f>
        <v>N/A</v>
      </c>
      <c r="U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Reference'!$E$2:$E$60,MATCH(INDEX(Account!$J$2:$J$131,MATCH($B1596,Account!$A$2:$A$131,0))&amp;"-"&amp;$C1596&amp;"-"&amp;$D1596,'Bill Report Reference'!$I$2:$I$60,0)),"")</f>
        <v>S.4942</v>
      </c>
      <c r="G1596" s="7" t="str">
        <f>IFERROR(""&amp;INDEX('Bill Report Reference'!$F$2:$F$60,MATCH(INDEX(Account!$J$2:$J$131,MATCH($B1596,Account!$A$2:$A$131,0))&amp;"-"&amp;$C1596&amp;"-"&amp;$D1596,'Bill Report Reference'!$I$2:$I$60,0)),"")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Reference'!$G$2:$G$60,MATCH(INDEX(Account!$J$2:$J$131,MATCH($B1596,Account!$A$2:$A$131,0))&amp;"-"&amp;$C1596&amp;"-"&amp;$D1596,'Bill Report Reference'!$I$2:$I$60,0)),"")</f>
        <v>https://www.govinfo.gov/content/pkg/BILLS-118s4942rs/pdf/BILLS-118s4942rs.pdf</v>
      </c>
      <c r="T1596" s="7" t="str">
        <f>IFERROR(""&amp;INDEX('Bill Report Reference'!$H$2:$H$60,MATCH(INDEX(Account!$J$2:$J$131,MATCH($B1596,Account!$A$2:$A$131,0))&amp;"-"&amp;$C1596&amp;"-"&amp;$D1596,'Bill Report Reference'!$I$2:$I$60,0)),"")</f>
        <v>https://www.congress.gov/118/crpt/srpt207/CRPT-118srpt207.pdf</v>
      </c>
      <c r="U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Reference'!$E$2:$E$60,MATCH(INDEX(Account!$J$2:$J$131,MATCH($B1884,Account!$A$2:$A$131,0))&amp;"-"&amp;$C1884&amp;"-"&amp;$D1884,'Bill Report Reference'!$I$2:$I$60,0)),"")</f>
        <v>H.R.8295</v>
      </c>
      <c r="G1884" s="7" t="str">
        <f>IFERROR(""&amp;INDEX('Bill Report Reference'!$F$2:$F$60,MATCH(INDEX(Account!$J$2:$J$131,MATCH($B1884,Account!$A$2:$A$131,0))&amp;"-"&amp;$C1884&amp;"-"&amp;$D1884,'Bill Report Reference'!$I$2:$I$60,0)),"")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Reference'!$G$2:$G$60,MATCH(INDEX(Account!$J$2:$J$131,MATCH($B1884,Account!$A$2:$A$131,0))&amp;"-"&amp;$C1884&amp;"-"&amp;$D1884,'Bill Report Reference'!$I$2:$I$60,0)),"")</f>
        <v>https://www.govinfo.gov/content/pkg/BILLS-117hr8295rh/pdf/BILLS-117hr8295rh.pdf</v>
      </c>
      <c r="T1884" s="7" t="str">
        <f>IFERROR(""&amp;INDEX('Bill Report Reference'!$H$2:$H$60,MATCH(INDEX(Account!$J$2:$J$131,MATCH($B1884,Account!$A$2:$A$131,0))&amp;"-"&amp;$C1884&amp;"-"&amp;$D1884,'Bill Report Reference'!$I$2:$I$60,0)),"")</f>
        <v>https://www.govinfo.gov/content/pkg/CRPT-117hrpt403/pdf/CRPT-117hrpt403.pdf</v>
      </c>
      <c r="U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Reference'!$E$2:$E$60,MATCH(INDEX(Account!$J$2:$J$131,MATCH($B1885,Account!$A$2:$A$131,0))&amp;"-"&amp;$C1885&amp;"-"&amp;$D1885,'Bill Report Reference'!$I$2:$I$60,0)),"")</f>
        <v>PREX 2.8:2023/APP</v>
      </c>
      <c r="G1885" s="7" t="str">
        <f>IFERROR(""&amp;INDEX('Bill Report Reference'!$F$2:$F$60,MATCH(INDEX(Account!$J$2:$J$131,MATCH($B1885,Account!$A$2:$A$131,0))&amp;"-"&amp;$C1885&amp;"-"&amp;$D1885,'Bill Report Reference'!$I$2:$I$60,0)),"")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unverified</t>
        </is>
      </c>
      <c r="S1885" s="7" t="str">
        <f>IFERROR(""&amp;INDEX('Bill Report Reference'!$G$2:$G$60,MATCH(INDEX(Account!$J$2:$J$131,MATCH($B1885,Account!$A$2:$A$131,0))&amp;"-"&amp;$C1885&amp;"-"&amp;$D1885,'Bill Report Reference'!$I$2:$I$60,0)),"")</f>
        <v>https://www.govinfo.gov/content/pkg/BUDGET-2023-APP/pdf/BUDGET-2023-APP.pdf</v>
      </c>
      <c r="T1885" s="7" t="str">
        <f>IFERROR(""&amp;INDEX('Bill Report Reference'!$H$2:$H$60,MATCH(INDEX(Account!$J$2:$J$131,MATCH($B1885,Account!$A$2:$A$131,0))&amp;"-"&amp;$C1885&amp;"-"&amp;$D1885,'Bill Report Reference'!$I$2:$I$60,0)),"")</f>
        <v>N/A</v>
      </c>
      <c r="U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Reference'!$E$2:$E$60,MATCH(INDEX(Account!$J$2:$J$131,MATCH($B1886,Account!$A$2:$A$131,0))&amp;"-"&amp;$C1886&amp;"-"&amp;$D1886,'Bill Report Reference'!$I$2:$I$60,0)),"")</f>
        <v>S.4659</v>
      </c>
      <c r="G1886" s="7" t="str">
        <f>IFERROR(""&amp;INDEX('Bill Report Reference'!$F$2:$F$60,MATCH(INDEX(Account!$J$2:$J$131,MATCH($B1886,Account!$A$2:$A$131,0))&amp;"-"&amp;$C1886&amp;"-"&amp;$D1886,'Bill Report Reference'!$I$2:$I$60,0)),"")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Reference'!$G$2:$G$60,MATCH(INDEX(Account!$J$2:$J$131,MATCH($B1886,Account!$A$2:$A$131,0))&amp;"-"&amp;$C1886&amp;"-"&amp;$D1886,'Bill Report Reference'!$I$2:$I$60,0)),"")</f>
        <v>https://www.govinfo.gov/content/pkg/BILLS-117s4659is/pdf/BILLS-117s4659is.pdf</v>
      </c>
      <c r="T1886" s="7" t="str">
        <f>IFERROR(""&amp;INDEX('Bill Report Reference'!$H$2:$H$60,MATCH(INDEX(Account!$J$2:$J$131,MATCH($B1886,Account!$A$2:$A$131,0))&amp;"-"&amp;$C1886&amp;"-"&amp;$D1886,'Bill Report Reference'!$I$2:$I$60,0)),"")</f>
        <v>https://www.appropriations.senate.gov/imo/media/doc/LHHSFY23REPT.pdf</v>
      </c>
      <c r="U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Reference'!$E$2:$E$60,MATCH(INDEX(Account!$J$2:$J$131,MATCH($B1900,Account!$A$2:$A$131,0))&amp;"-"&amp;$C1900&amp;"-"&amp;$D1900,'Bill Report Reference'!$I$2:$I$60,0)),"")</f>
        <v>P.L.117-328</v>
      </c>
      <c r="G1900" s="7" t="str">
        <f>IFERROR(""&amp;INDEX('Bill Report Reference'!$F$2:$F$60,MATCH(INDEX(Account!$J$2:$J$131,MATCH($B1900,Account!$A$2:$A$131,0))&amp;"-"&amp;$C1900&amp;"-"&amp;$D1900,'Bill Report Reference'!$I$2:$I$60,0)),"")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unverified</t>
        </is>
      </c>
      <c r="S1900" s="7" t="str">
        <f>IFERROR(""&amp;INDEX('Bill Report Reference'!$G$2:$G$60,MATCH(INDEX(Account!$J$2:$J$131,MATCH($B1900,Account!$A$2:$A$131,0))&amp;"-"&amp;$C1900&amp;"-"&amp;$D1900,'Bill Report Reference'!$I$2:$I$60,0)),"")</f>
        <v>https://www.govinfo.gov/content/pkg/PLAW-117publ328/pdf/PLAW-117publ328.pdf</v>
      </c>
      <c r="T1900" s="7" t="str">
        <f>IFERROR(""&amp;INDEX('Bill Report Reference'!$H$2:$H$60,MATCH(INDEX(Account!$J$2:$J$131,MATCH($B1900,Account!$A$2:$A$131,0))&amp;"-"&amp;$C1900&amp;"-"&amp;$D1900,'Bill Report Reference'!$I$2:$I$60,0)),"")</f>
        <v>N/A</v>
      </c>
      <c r="U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Reference'!$E$2:$E$60,MATCH(INDEX(Account!$J$2:$J$131,MATCH($B1904,Account!$A$2:$A$131,0))&amp;"-"&amp;$C1904&amp;"-"&amp;$D1904,'Bill Report Reference'!$I$2:$I$60,0)),"")</f>
        <v>P.L.118-47</v>
      </c>
      <c r="G1904" s="7" t="str">
        <f>IFERROR(""&amp;INDEX('Bill Report Reference'!$F$2:$F$60,MATCH(INDEX(Account!$J$2:$J$131,MATCH($B1904,Account!$A$2:$A$131,0))&amp;"-"&amp;$C1904&amp;"-"&amp;$D1904,'Bill Report Reference'!$I$2:$I$60,0)),"")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unverified</t>
        </is>
      </c>
      <c r="S1904" s="7" t="str">
        <f>IFERROR(""&amp;INDEX('Bill Report Reference'!$G$2:$G$60,MATCH(INDEX(Account!$J$2:$J$131,MATCH($B1904,Account!$A$2:$A$131,0))&amp;"-"&amp;$C1904&amp;"-"&amp;$D1904,'Bill Report Reference'!$I$2:$I$60,0)),"")</f>
        <v>https://www.govinfo.gov/content/pkg/PLAW-118publ47/pdf/PLAW-118publ47.pdf</v>
      </c>
      <c r="T1904" s="7" t="str">
        <f>IFERROR(""&amp;INDEX('Bill Report Reference'!$H$2:$H$60,MATCH(INDEX(Account!$J$2:$J$131,MATCH($B1904,Account!$A$2:$A$131,0))&amp;"-"&amp;$C1904&amp;"-"&amp;$D1904,'Bill Report Reference'!$I$2:$I$60,0)),"")</f>
        <v>N/A</v>
      </c>
      <c r="U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Reference'!$E$2:$E$60,MATCH(INDEX(Account!$J$2:$J$131,MATCH($B1905,Account!$A$2:$A$131,0))&amp;"-"&amp;$C1905&amp;"-"&amp;$D1905,'Bill Report Reference'!$I$2:$I$60,0)),"")</f>
        <v>PREX 2.8:2024/APP</v>
      </c>
      <c r="G1905" s="7" t="str">
        <f>IFERROR(""&amp;INDEX('Bill Report Reference'!$F$2:$F$60,MATCH(INDEX(Account!$J$2:$J$131,MATCH($B1905,Account!$A$2:$A$131,0))&amp;"-"&amp;$C1905&amp;"-"&amp;$D1905,'Bill Report Reference'!$I$2:$I$60,0)),"")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Reference'!$G$2:$G$60,MATCH(INDEX(Account!$J$2:$J$131,MATCH($B1905,Account!$A$2:$A$131,0))&amp;"-"&amp;$C1905&amp;"-"&amp;$D1905,'Bill Report Reference'!$I$2:$I$60,0)),"")</f>
        <v>https://www.govinfo.gov/content/pkg/BUDGET-2024-APP/pdf/BUDGET-2024-APP.pdf</v>
      </c>
      <c r="T1905" s="7" t="str">
        <f>IFERROR(""&amp;INDEX('Bill Report Reference'!$H$2:$H$60,MATCH(INDEX(Account!$J$2:$J$131,MATCH($B1905,Account!$A$2:$A$131,0))&amp;"-"&amp;$C1905&amp;"-"&amp;$D1905,'Bill Report Reference'!$I$2:$I$60,0)),"")</f>
        <v>N/A</v>
      </c>
      <c r="U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Reference'!$E$2:$E$60,MATCH(INDEX(Account!$J$2:$J$131,MATCH($B1906,Account!$A$2:$A$131,0))&amp;"-"&amp;$C1906&amp;"-"&amp;$D1906,'Bill Report Reference'!$I$2:$I$60,0)),"")</f>
        <v>S.2624</v>
      </c>
      <c r="G1906" s="7" t="str">
        <f>IFERROR(""&amp;INDEX('Bill Report Reference'!$F$2:$F$60,MATCH(INDEX(Account!$J$2:$J$131,MATCH($B1906,Account!$A$2:$A$131,0))&amp;"-"&amp;$C1906&amp;"-"&amp;$D1906,'Bill Report Reference'!$I$2:$I$60,0)),"")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Reference'!$G$2:$G$60,MATCH(INDEX(Account!$J$2:$J$131,MATCH($B1906,Account!$A$2:$A$131,0))&amp;"-"&amp;$C1906&amp;"-"&amp;$D1906,'Bill Report Reference'!$I$2:$I$60,0)),"")</f>
        <v>https://www.govinfo.gov/content/pkg/BILLS-118s2624rs/pdf/BILLS-118s2624rs.pdf</v>
      </c>
      <c r="T1906" s="7" t="str">
        <f>IFERROR(""&amp;INDEX('Bill Report Reference'!$H$2:$H$60,MATCH(INDEX(Account!$J$2:$J$131,MATCH($B1906,Account!$A$2:$A$131,0))&amp;"-"&amp;$C1906&amp;"-"&amp;$D1906,'Bill Report Reference'!$I$2:$I$60,0)),"")</f>
        <v>https://www.congress.gov/118/crpt/srpt84/CRPT-118srpt84.pdf</v>
      </c>
      <c r="U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Reference'!$E$2:$E$60,MATCH(INDEX(Account!$J$2:$J$131,MATCH($B1907,Account!$A$2:$A$131,0))&amp;"-"&amp;$C1907&amp;"-"&amp;$D1907,'Bill Report Reference'!$I$2:$I$60,0)),"")</f>
        <v>P.L.119-4</v>
      </c>
      <c r="G1907" s="7" t="str">
        <f>IFERROR(""&amp;INDEX('Bill Report Reference'!$F$2:$F$60,MATCH(INDEX(Account!$J$2:$J$131,MATCH($B1907,Account!$A$2:$A$131,0))&amp;"-"&amp;$C1907&amp;"-"&amp;$D1907,'Bill Report Reference'!$I$2:$I$60,0)),"")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Reference'!$G$2:$G$60,MATCH(INDEX(Account!$J$2:$J$131,MATCH($B1907,Account!$A$2:$A$131,0))&amp;"-"&amp;$C1907&amp;"-"&amp;$D1907,'Bill Report Reference'!$I$2:$I$60,0)),"")</f>
        <v>https://www.govinfo.gov/content/pkg/PLAW-119publ4/pdf/PLAW-119publ4.pdf</v>
      </c>
      <c r="T1907" s="7" t="str">
        <f>IFERROR(""&amp;INDEX('Bill Report Reference'!$H$2:$H$60,MATCH(INDEX(Account!$J$2:$J$131,MATCH($B1907,Account!$A$2:$A$131,0))&amp;"-"&amp;$C1907&amp;"-"&amp;$D1907,'Bill Report Reference'!$I$2:$I$60,0)),"")</f>
        <v>N/A</v>
      </c>
      <c r="U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Reference'!$E$2:$E$60,MATCH(INDEX(Account!$J$2:$J$131,MATCH($B1908,Account!$A$2:$A$131,0))&amp;"-"&amp;$C1908&amp;"-"&amp;$D1908,'Bill Report Reference'!$I$2:$I$60,0)),"")</f>
        <v>H.R.9029</v>
      </c>
      <c r="G1908" s="7" t="str">
        <f>IFERROR(""&amp;INDEX('Bill Report Reference'!$F$2:$F$60,MATCH(INDEX(Account!$J$2:$J$131,MATCH($B1908,Account!$A$2:$A$131,0))&amp;"-"&amp;$C1908&amp;"-"&amp;$D1908,'Bill Report Reference'!$I$2:$I$60,0)),"")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Reference'!$G$2:$G$60,MATCH(INDEX(Account!$J$2:$J$131,MATCH($B1908,Account!$A$2:$A$131,0))&amp;"-"&amp;$C1908&amp;"-"&amp;$D1908,'Bill Report Reference'!$I$2:$I$60,0)),"")</f>
        <v>https://www.govinfo.gov/content/pkg/BILLS-118hr9029rh/pdf/BILLS-118hr9029rh.pdf</v>
      </c>
      <c r="T1908" s="7" t="str">
        <f>IFERROR(""&amp;INDEX('Bill Report Reference'!$H$2:$H$60,MATCH(INDEX(Account!$J$2:$J$131,MATCH($B1908,Account!$A$2:$A$131,0))&amp;"-"&amp;$C1908&amp;"-"&amp;$D1908,'Bill Report Reference'!$I$2:$I$60,0)),"")</f>
        <v>https://www.congress.gov/118/crpt/hrpt585/CRPT-118hrpt585.pdf</v>
      </c>
      <c r="U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Reference'!$E$2:$E$60,MATCH(INDEX(Account!$J$2:$J$131,MATCH($B1909,Account!$A$2:$A$131,0))&amp;"-"&amp;$C1909&amp;"-"&amp;$D1909,'Bill Report Reference'!$I$2:$I$60,0)),"")</f>
        <v>PREX 2.8:2025/APP</v>
      </c>
      <c r="G1909" s="7" t="str">
        <f>IFERROR(""&amp;INDEX('Bill Report Reference'!$F$2:$F$60,MATCH(INDEX(Account!$J$2:$J$131,MATCH($B1909,Account!$A$2:$A$131,0))&amp;"-"&amp;$C1909&amp;"-"&amp;$D1909,'Bill Report Reference'!$I$2:$I$60,0)),"")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unverified</t>
        </is>
      </c>
      <c r="S1909" s="7" t="str">
        <f>IFERROR(""&amp;INDEX('Bill Report Reference'!$G$2:$G$60,MATCH(INDEX(Account!$J$2:$J$131,MATCH($B1909,Account!$A$2:$A$131,0))&amp;"-"&amp;$C1909&amp;"-"&amp;$D1909,'Bill Report Reference'!$I$2:$I$60,0)),"")</f>
        <v>https://www.govinfo.gov/content/pkg/BUDGET-2025-APP/pdf/BUDGET-2025-APP.pdf</v>
      </c>
      <c r="T1909" s="7" t="str">
        <f>IFERROR(""&amp;INDEX('Bill Report Reference'!$H$2:$H$60,MATCH(INDEX(Account!$J$2:$J$131,MATCH($B1909,Account!$A$2:$A$131,0))&amp;"-"&amp;$C1909&amp;"-"&amp;$D1909,'Bill Report Reference'!$I$2:$I$60,0)),"")</f>
        <v>N/A</v>
      </c>
      <c r="U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Reference'!$E$2:$E$60,MATCH(INDEX(Account!$J$2:$J$131,MATCH($B1910,Account!$A$2:$A$131,0))&amp;"-"&amp;$C1910&amp;"-"&amp;$D1910,'Bill Report Reference'!$I$2:$I$60,0)),"")</f>
        <v>S.4942</v>
      </c>
      <c r="G1910" s="7" t="str">
        <f>IFERROR(""&amp;INDEX('Bill Report Reference'!$F$2:$F$60,MATCH(INDEX(Account!$J$2:$J$131,MATCH($B1910,Account!$A$2:$A$131,0))&amp;"-"&amp;$C1910&amp;"-"&amp;$D1910,'Bill Report Reference'!$I$2:$I$60,0)),"")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Reference'!$G$2:$G$60,MATCH(INDEX(Account!$J$2:$J$131,MATCH($B1910,Account!$A$2:$A$131,0))&amp;"-"&amp;$C1910&amp;"-"&amp;$D1910,'Bill Report Reference'!$I$2:$I$60,0)),"")</f>
        <v>https://www.govinfo.gov/content/pkg/BILLS-118s4942rs/pdf/BILLS-118s4942rs.pdf</v>
      </c>
      <c r="T1910" s="7" t="str">
        <f>IFERROR(""&amp;INDEX('Bill Report Reference'!$H$2:$H$60,MATCH(INDEX(Account!$J$2:$J$131,MATCH($B1910,Account!$A$2:$A$131,0))&amp;"-"&amp;$C1910&amp;"-"&amp;$D1910,'Bill Report Reference'!$I$2:$I$60,0)),"")</f>
        <v>https://www.congress.gov/118/crpt/srpt207/CRPT-118srpt207.pdf</v>
      </c>
      <c r="U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Reference'!$E$2:$E$60,MATCH(INDEX(Account!$J$2:$J$131,MATCH($B1911,Account!$A$2:$A$131,0))&amp;"-"&amp;$C1911&amp;"-"&amp;$D1911,'Bill Report Reference'!$I$2:$I$60,0)),"")</f>
        <v>P.L.119-75</v>
      </c>
      <c r="G1911" s="7" t="str">
        <f>IFERROR(""&amp;INDEX('Bill Report Reference'!$F$2:$F$60,MATCH(INDEX(Account!$J$2:$J$131,MATCH($B1911,Account!$A$2:$A$131,0))&amp;"-"&amp;$C1911&amp;"-"&amp;$D1911,'Bill Report Reference'!$I$2:$I$60,0)),"")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unverified</t>
        </is>
      </c>
      <c r="S1911" s="7" t="str">
        <f>IFERROR(""&amp;INDEX('Bill Report Reference'!$G$2:$G$60,MATCH(INDEX(Account!$J$2:$J$131,MATCH($B1911,Account!$A$2:$A$131,0))&amp;"-"&amp;$C1911&amp;"-"&amp;$D1911,'Bill Report Reference'!$I$2:$I$60,0)),"")</f>
        <v>https://www.govinfo.gov/content/pkg/PLAW-119publ75/pdf/PLAW-119publ75.pdf</v>
      </c>
      <c r="T1911" s="7" t="str">
        <f>IFERROR(""&amp;INDEX('Bill Report Reference'!$H$2:$H$60,MATCH(INDEX(Account!$J$2:$J$131,MATCH($B1911,Account!$A$2:$A$131,0))&amp;"-"&amp;$C1911&amp;"-"&amp;$D1911,'Bill Report Reference'!$I$2:$I$60,0)),"")</f>
        <v>https://www.govinfo.gov/content/pkg/CREC-2026-01-22/pdf/CREC-2026-01-22-pt2-PgH1353-2.pdf</v>
      </c>
      <c r="U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Reference'!$E$2:$E$60,MATCH(INDEX(Account!$J$2:$J$131,MATCH($B1912,Account!$A$2:$A$131,0))&amp;"-"&amp;$C1912&amp;"-"&amp;$D1912,'Bill Report Reference'!$I$2:$I$60,0)),"")</f>
        <v>H.R.5304</v>
      </c>
      <c r="G1912" s="7" t="str">
        <f>IFERROR(""&amp;INDEX('Bill Report Reference'!$F$2:$F$60,MATCH(INDEX(Account!$J$2:$J$131,MATCH($B1912,Account!$A$2:$A$131,0))&amp;"-"&amp;$C1912&amp;"-"&amp;$D1912,'Bill Report Reference'!$I$2:$I$60,0)),"")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Reference'!$G$2:$G$60,MATCH(INDEX(Account!$J$2:$J$131,MATCH($B1912,Account!$A$2:$A$131,0))&amp;"-"&amp;$C1912&amp;"-"&amp;$D1912,'Bill Report Reference'!$I$2:$I$60,0)),"")</f>
        <v>https://www.govinfo.gov/content/pkg/BILLS-119hr5304rh/pdf/BILLS-119hr5304rh.pdf</v>
      </c>
      <c r="T1912" s="7" t="str">
        <f>IFERROR(""&amp;INDEX('Bill Report Reference'!$H$2:$H$60,MATCH(INDEX(Account!$J$2:$J$131,MATCH($B1912,Account!$A$2:$A$131,0))&amp;"-"&amp;$C1912&amp;"-"&amp;$D1912,'Bill Report Reference'!$I$2:$I$60,0)),"")</f>
        <v>https://www.congress.gov/119/crpt/hrpt271/CRPT-119hrpt271.pdf</v>
      </c>
      <c r="U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Reference'!$E$2:$E$60,MATCH(INDEX(Account!$J$2:$J$131,MATCH($B1913,Account!$A$2:$A$131,0))&amp;"-"&amp;$C1913&amp;"-"&amp;$D1913,'Bill Report Reference'!$I$2:$I$60,0)),"")</f>
        <v>PREX 2.8:2026/APP</v>
      </c>
      <c r="G1913" s="7" t="str">
        <f>IFERROR(""&amp;INDEX('Bill Report Reference'!$F$2:$F$60,MATCH(INDEX(Account!$J$2:$J$131,MATCH($B1913,Account!$A$2:$A$131,0))&amp;"-"&amp;$C1913&amp;"-"&amp;$D1913,'Bill Report Reference'!$I$2:$I$60,0)),"")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Reference'!$G$2:$G$60,MATCH(INDEX(Account!$J$2:$J$131,MATCH($B1913,Account!$A$2:$A$131,0))&amp;"-"&amp;$C1913&amp;"-"&amp;$D1913,'Bill Report Reference'!$I$2:$I$60,0)),"")</f>
        <v>https://www.govinfo.gov/content/pkg/BUDGET-2026-APP/pdf/BUDGET-2026-APP.pdf</v>
      </c>
      <c r="T1913" s="7" t="str">
        <f>IFERROR(""&amp;INDEX('Bill Report Reference'!$H$2:$H$60,MATCH(INDEX(Account!$J$2:$J$131,MATCH($B1913,Account!$A$2:$A$131,0))&amp;"-"&amp;$C1913&amp;"-"&amp;$D1913,'Bill Report Reference'!$I$2:$I$60,0)),"")</f>
        <v>N/A</v>
      </c>
      <c r="U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Reference'!$E$2:$E$60,MATCH(INDEX(Account!$J$2:$J$131,MATCH($B1915,Account!$A$2:$A$131,0))&amp;"-"&amp;$C1915&amp;"-"&amp;$D1915,'Bill Report Reference'!$I$2:$I$60,0)),"")</f>
        <v>H.R.9260</v>
      </c>
      <c r="G1915" s="7" t="str">
        <f>IFERROR(""&amp;INDEX('Bill Report Reference'!$F$2:$F$60,MATCH(INDEX(Account!$J$2:$J$131,MATCH($B1915,Account!$A$2:$A$131,0))&amp;"-"&amp;$C1915&amp;"-"&amp;$D1915,'Bill Report Reference'!$I$2:$I$60,0)),"")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Reference'!$G$2:$G$60,MATCH(INDEX(Account!$J$2:$J$131,MATCH($B1915,Account!$A$2:$A$131,0))&amp;"-"&amp;$C1915&amp;"-"&amp;$D1915,'Bill Report Reference'!$I$2:$I$60,0)),"")</f>
        <v>https://www.govinfo.gov/content/pkg/BILLS-119hr9260rh/pdf/BILLS-119hr9260rh.pdf</v>
      </c>
      <c r="T1915" s="7" t="str">
        <f>IFERROR(""&amp;INDEX('Bill Report Reference'!$H$2:$H$60,MATCH(INDEX(Account!$J$2:$J$131,MATCH($B1915,Account!$A$2:$A$131,0))&amp;"-"&amp;$C1915&amp;"-"&amp;$D1915,'Bill Report Reference'!$I$2:$I$60,0)),"")</f>
        <v>https://www.congress.gov/119/crpt/hrpt696/CRPT-119hrpt696.pdf</v>
      </c>
      <c r="U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Reference'!$E$2:$E$60,MATCH(INDEX(Account!$J$2:$J$131,MATCH($B1916,Account!$A$2:$A$131,0))&amp;"-"&amp;$C1916&amp;"-"&amp;$D1916,'Bill Report Reference'!$I$2:$I$60,0)),"")</f>
        <v>PREX 2.8:2027/APP</v>
      </c>
      <c r="G1916" s="7" t="str">
        <f>IFERROR(""&amp;INDEX('Bill Report Reference'!$F$2:$F$60,MATCH(INDEX(Account!$J$2:$J$131,MATCH($B1916,Account!$A$2:$A$131,0))&amp;"-"&amp;$C1916&amp;"-"&amp;$D1916,'Bill Report Reference'!$I$2:$I$60,0)),"")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Reference'!$G$2:$G$60,MATCH(INDEX(Account!$J$2:$J$131,MATCH($B1916,Account!$A$2:$A$131,0))&amp;"-"&amp;$C1916&amp;"-"&amp;$D1916,'Bill Report Reference'!$I$2:$I$60,0)),"")</f>
        <v>https://www.govinfo.gov/content/pkg/BUDGET-2027-APP/pdf/BUDGET-2027-APP.pdf</v>
      </c>
      <c r="T1916" s="7" t="str">
        <f>IFERROR(""&amp;INDEX('Bill Report Reference'!$H$2:$H$60,MATCH(INDEX(Account!$J$2:$J$131,MATCH($B1916,Account!$A$2:$A$131,0))&amp;"-"&amp;$C1916&amp;"-"&amp;$D1916,'Bill Report Reference'!$I$2:$I$60,0)),"")</f>
        <v>N/A</v>
      </c>
      <c r="U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Reference'!$E$2:$E$60,MATCH(INDEX(Account!$J$2:$J$131,MATCH($B1935,Account!$A$2:$A$131,0))&amp;"-"&amp;$C1935&amp;"-"&amp;$D1935,'Bill Report Reference'!$I$2:$I$60,0)),"")</f>
        <v>H.R.8295</v>
      </c>
      <c r="G1935" s="7" t="str">
        <f>IFERROR(""&amp;INDEX('Bill Report Reference'!$F$2:$F$60,MATCH(INDEX(Account!$J$2:$J$131,MATCH($B1935,Account!$A$2:$A$131,0))&amp;"-"&amp;$C1935&amp;"-"&amp;$D1935,'Bill Report Reference'!$I$2:$I$60,0)),"")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Reference'!$G$2:$G$60,MATCH(INDEX(Account!$J$2:$J$131,MATCH($B1935,Account!$A$2:$A$131,0))&amp;"-"&amp;$C1935&amp;"-"&amp;$D1935,'Bill Report Reference'!$I$2:$I$60,0)),"")</f>
        <v>https://www.govinfo.gov/content/pkg/BILLS-117hr8295rh/pdf/BILLS-117hr8295rh.pdf</v>
      </c>
      <c r="T1935" s="7" t="str">
        <f>IFERROR(""&amp;INDEX('Bill Report Reference'!$H$2:$H$60,MATCH(INDEX(Account!$J$2:$J$131,MATCH($B1935,Account!$A$2:$A$131,0))&amp;"-"&amp;$C1935&amp;"-"&amp;$D1935,'Bill Report Reference'!$I$2:$I$60,0)),"")</f>
        <v>https://www.govinfo.gov/content/pkg/CRPT-117hrpt403/pdf/CRPT-117hrpt403.pdf</v>
      </c>
      <c r="U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Reference'!$E$2:$E$60,MATCH(INDEX(Account!$J$2:$J$131,MATCH($B1936,Account!$A$2:$A$131,0))&amp;"-"&amp;$C1936&amp;"-"&amp;$D1936,'Bill Report Reference'!$I$2:$I$60,0)),"")</f>
        <v>PREX 2.8:2023/APP</v>
      </c>
      <c r="G1936" s="7" t="str">
        <f>IFERROR(""&amp;INDEX('Bill Report Reference'!$F$2:$F$60,MATCH(INDEX(Account!$J$2:$J$131,MATCH($B1936,Account!$A$2:$A$131,0))&amp;"-"&amp;$C1936&amp;"-"&amp;$D1936,'Bill Report Reference'!$I$2:$I$60,0)),"")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unverified</t>
        </is>
      </c>
      <c r="S1936" s="7" t="str">
        <f>IFERROR(""&amp;INDEX('Bill Report Reference'!$G$2:$G$60,MATCH(INDEX(Account!$J$2:$J$131,MATCH($B1936,Account!$A$2:$A$131,0))&amp;"-"&amp;$C1936&amp;"-"&amp;$D1936,'Bill Report Reference'!$I$2:$I$60,0)),"")</f>
        <v>https://www.govinfo.gov/content/pkg/BUDGET-2023-APP/pdf/BUDGET-2023-APP.pdf</v>
      </c>
      <c r="T1936" s="7" t="str">
        <f>IFERROR(""&amp;INDEX('Bill Report Reference'!$H$2:$H$60,MATCH(INDEX(Account!$J$2:$J$131,MATCH($B1936,Account!$A$2:$A$131,0))&amp;"-"&amp;$C1936&amp;"-"&amp;$D1936,'Bill Report Reference'!$I$2:$I$60,0)),"")</f>
        <v>N/A</v>
      </c>
      <c r="U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Reference'!$E$2:$E$60,MATCH(INDEX(Account!$J$2:$J$131,MATCH($B1937,Account!$A$2:$A$131,0))&amp;"-"&amp;$C1937&amp;"-"&amp;$D1937,'Bill Report Reference'!$I$2:$I$60,0)),"")</f>
        <v>S.4659</v>
      </c>
      <c r="G1937" s="7" t="str">
        <f>IFERROR(""&amp;INDEX('Bill Report Reference'!$F$2:$F$60,MATCH(INDEX(Account!$J$2:$J$131,MATCH($B1937,Account!$A$2:$A$131,0))&amp;"-"&amp;$C1937&amp;"-"&amp;$D1937,'Bill Report Reference'!$I$2:$I$60,0)),"")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Reference'!$G$2:$G$60,MATCH(INDEX(Account!$J$2:$J$131,MATCH($B1937,Account!$A$2:$A$131,0))&amp;"-"&amp;$C1937&amp;"-"&amp;$D1937,'Bill Report Reference'!$I$2:$I$60,0)),"")</f>
        <v>https://www.govinfo.gov/content/pkg/BILLS-117s4659is/pdf/BILLS-117s4659is.pdf</v>
      </c>
      <c r="T1937" s="7" t="str">
        <f>IFERROR(""&amp;INDEX('Bill Report Reference'!$H$2:$H$60,MATCH(INDEX(Account!$J$2:$J$131,MATCH($B1937,Account!$A$2:$A$131,0))&amp;"-"&amp;$C1937&amp;"-"&amp;$D1937,'Bill Report Reference'!$I$2:$I$60,0)),"")</f>
        <v>https://www.appropriations.senate.gov/imo/media/doc/LHHSFY23REPT.pdf</v>
      </c>
      <c r="U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Reference'!$E$2:$E$60,MATCH(INDEX(Account!$J$2:$J$131,MATCH($B1952,Account!$A$2:$A$131,0))&amp;"-"&amp;$C1952&amp;"-"&amp;$D1952,'Bill Report Reference'!$I$2:$I$60,0)),"")</f>
        <v>H.R.8295</v>
      </c>
      <c r="G1952" s="7" t="str">
        <f>IFERROR(""&amp;INDEX('Bill Report Reference'!$F$2:$F$60,MATCH(INDEX(Account!$J$2:$J$131,MATCH($B1952,Account!$A$2:$A$131,0))&amp;"-"&amp;$C1952&amp;"-"&amp;$D1952,'Bill Report Reference'!$I$2:$I$60,0)),"")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Reference'!$G$2:$G$60,MATCH(INDEX(Account!$J$2:$J$131,MATCH($B1952,Account!$A$2:$A$131,0))&amp;"-"&amp;$C1952&amp;"-"&amp;$D1952,'Bill Report Reference'!$I$2:$I$60,0)),"")</f>
        <v>https://www.govinfo.gov/content/pkg/BILLS-117hr8295rh/pdf/BILLS-117hr8295rh.pdf</v>
      </c>
      <c r="T1952" s="7" t="str">
        <f>IFERROR(""&amp;INDEX('Bill Report Reference'!$H$2:$H$60,MATCH(INDEX(Account!$J$2:$J$131,MATCH($B1952,Account!$A$2:$A$131,0))&amp;"-"&amp;$C1952&amp;"-"&amp;$D1952,'Bill Report Reference'!$I$2:$I$60,0)),"")</f>
        <v>https://www.govinfo.gov/content/pkg/CRPT-117hrpt403/pdf/CRPT-117hrpt403.pdf</v>
      </c>
      <c r="U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Reference'!$E$2:$E$60,MATCH(INDEX(Account!$J$2:$J$131,MATCH($B1953,Account!$A$2:$A$131,0))&amp;"-"&amp;$C1953&amp;"-"&amp;$D1953,'Bill Report Reference'!$I$2:$I$60,0)),"")</f>
        <v>PREX 2.8:2023/APP</v>
      </c>
      <c r="G1953" s="7" t="str">
        <f>IFERROR(""&amp;INDEX('Bill Report Reference'!$F$2:$F$60,MATCH(INDEX(Account!$J$2:$J$131,MATCH($B1953,Account!$A$2:$A$131,0))&amp;"-"&amp;$C1953&amp;"-"&amp;$D1953,'Bill Report Reference'!$I$2:$I$60,0)),"")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unverified</t>
        </is>
      </c>
      <c r="S1953" s="7" t="str">
        <f>IFERROR(""&amp;INDEX('Bill Report Reference'!$G$2:$G$60,MATCH(INDEX(Account!$J$2:$J$131,MATCH($B1953,Account!$A$2:$A$131,0))&amp;"-"&amp;$C1953&amp;"-"&amp;$D1953,'Bill Report Reference'!$I$2:$I$60,0)),"")</f>
        <v>https://www.govinfo.gov/content/pkg/BUDGET-2023-APP/pdf/BUDGET-2023-APP.pdf</v>
      </c>
      <c r="T1953" s="7" t="str">
        <f>IFERROR(""&amp;INDEX('Bill Report Reference'!$H$2:$H$60,MATCH(INDEX(Account!$J$2:$J$131,MATCH($B1953,Account!$A$2:$A$131,0))&amp;"-"&amp;$C1953&amp;"-"&amp;$D1953,'Bill Report Reference'!$I$2:$I$60,0)),"")</f>
        <v>N/A</v>
      </c>
      <c r="U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Reference'!$E$2:$E$60,MATCH(INDEX(Account!$J$2:$J$131,MATCH($B1954,Account!$A$2:$A$131,0))&amp;"-"&amp;$C1954&amp;"-"&amp;$D1954,'Bill Report Reference'!$I$2:$I$60,0)),"")</f>
        <v>S.4659</v>
      </c>
      <c r="G1954" s="7" t="str">
        <f>IFERROR(""&amp;INDEX('Bill Report Reference'!$F$2:$F$60,MATCH(INDEX(Account!$J$2:$J$131,MATCH($B1954,Account!$A$2:$A$131,0))&amp;"-"&amp;$C1954&amp;"-"&amp;$D1954,'Bill Report Reference'!$I$2:$I$60,0)),"")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Reference'!$G$2:$G$60,MATCH(INDEX(Account!$J$2:$J$131,MATCH($B1954,Account!$A$2:$A$131,0))&amp;"-"&amp;$C1954&amp;"-"&amp;$D1954,'Bill Report Reference'!$I$2:$I$60,0)),"")</f>
        <v>https://www.govinfo.gov/content/pkg/BILLS-117s4659is/pdf/BILLS-117s4659is.pdf</v>
      </c>
      <c r="T1954" s="7" t="str">
        <f>IFERROR(""&amp;INDEX('Bill Report Reference'!$H$2:$H$60,MATCH(INDEX(Account!$J$2:$J$131,MATCH($B1954,Account!$A$2:$A$131,0))&amp;"-"&amp;$C1954&amp;"-"&amp;$D1954,'Bill Report Reference'!$I$2:$I$60,0)),"")</f>
        <v>https://www.appropriations.senate.gov/imo/media/doc/LHHSFY23REPT.pdf</v>
      </c>
      <c r="U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Reference'!$E$2:$E$60,MATCH(INDEX(Account!$J$2:$J$131,MATCH($B2421,Account!$A$2:$A$131,0))&amp;"-"&amp;$C2421&amp;"-"&amp;$D2421,'Bill Report Reference'!$I$2:$I$60,0)),"")</f>
        <v>S.2624</v>
      </c>
      <c r="G2421" s="7" t="str">
        <f>IFERROR(""&amp;INDEX('Bill Report Reference'!$F$2:$F$60,MATCH(INDEX(Account!$J$2:$J$131,MATCH($B2421,Account!$A$2:$A$131,0))&amp;"-"&amp;$C2421&amp;"-"&amp;$D2421,'Bill Report Reference'!$I$2:$I$60,0)),"")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Reference'!$G$2:$G$60,MATCH(INDEX(Account!$J$2:$J$131,MATCH($B2421,Account!$A$2:$A$131,0))&amp;"-"&amp;$C2421&amp;"-"&amp;$D2421,'Bill Report Reference'!$I$2:$I$60,0)),"")</f>
        <v>https://www.govinfo.gov/content/pkg/BILLS-118s2624rs/pdf/BILLS-118s2624rs.pdf</v>
      </c>
      <c r="T2421" s="7" t="str">
        <f>IFERROR(""&amp;INDEX('Bill Report Reference'!$H$2:$H$60,MATCH(INDEX(Account!$J$2:$J$131,MATCH($B2421,Account!$A$2:$A$131,0))&amp;"-"&amp;$C2421&amp;"-"&amp;$D2421,'Bill Report Reference'!$I$2:$I$60,0)),"")</f>
        <v>https://www.congress.gov/118/crpt/srpt84/CRPT-118srpt84.pdf</v>
      </c>
      <c r="U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Reference'!$E$2:$E$60,MATCH(INDEX(Account!$J$2:$J$131,MATCH($B2453,Account!$A$2:$A$131,0))&amp;"-"&amp;$C2453&amp;"-"&amp;$D2453,'Bill Report Reference'!$I$2:$I$60,0)),"")</f>
        <v>S.4659</v>
      </c>
      <c r="G2453" s="7" t="str">
        <f>IFERROR(""&amp;INDEX('Bill Report Reference'!$F$2:$F$60,MATCH(INDEX(Account!$J$2:$J$131,MATCH($B2453,Account!$A$2:$A$131,0))&amp;"-"&amp;$C2453&amp;"-"&amp;$D2453,'Bill Report Reference'!$I$2:$I$60,0)),"")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Reference'!$G$2:$G$60,MATCH(INDEX(Account!$J$2:$J$131,MATCH($B2453,Account!$A$2:$A$131,0))&amp;"-"&amp;$C2453&amp;"-"&amp;$D2453,'Bill Report Reference'!$I$2:$I$60,0)),"")</f>
        <v>https://www.govinfo.gov/content/pkg/BILLS-117s4659is/pdf/BILLS-117s4659is.pdf</v>
      </c>
      <c r="T2453" s="7" t="str">
        <f>IFERROR(""&amp;INDEX('Bill Report Reference'!$H$2:$H$60,MATCH(INDEX(Account!$J$2:$J$131,MATCH($B2453,Account!$A$2:$A$131,0))&amp;"-"&amp;$C2453&amp;"-"&amp;$D2453,'Bill Report Reference'!$I$2:$I$60,0)),"")</f>
        <v>https://www.appropriations.senate.gov/imo/media/doc/LHHSFY23REPT.pdf</v>
      </c>
      <c r="U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Reference'!$E$2:$E$60,MATCH(INDEX(Account!$J$2:$J$131,MATCH($B2527,Account!$A$2:$A$131,0))&amp;"-"&amp;$C2527&amp;"-"&amp;$D2527,'Bill Report Reference'!$I$2:$I$60,0)),"")</f>
        <v>H.R.8295</v>
      </c>
      <c r="G2527" s="7" t="str">
        <f>IFERROR(""&amp;INDEX('Bill Report Reference'!$F$2:$F$60,MATCH(INDEX(Account!$J$2:$J$131,MATCH($B2527,Account!$A$2:$A$131,0))&amp;"-"&amp;$C2527&amp;"-"&amp;$D2527,'Bill Report Reference'!$I$2:$I$60,0)),"")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Reference'!$G$2:$G$60,MATCH(INDEX(Account!$J$2:$J$131,MATCH($B2527,Account!$A$2:$A$131,0))&amp;"-"&amp;$C2527&amp;"-"&amp;$D2527,'Bill Report Reference'!$I$2:$I$60,0)),"")</f>
        <v>https://www.govinfo.gov/content/pkg/BILLS-117hr8295rh/pdf/BILLS-117hr8295rh.pdf</v>
      </c>
      <c r="T2527" s="7" t="str">
        <f>IFERROR(""&amp;INDEX('Bill Report Reference'!$H$2:$H$60,MATCH(INDEX(Account!$J$2:$J$131,MATCH($B2527,Account!$A$2:$A$131,0))&amp;"-"&amp;$C2527&amp;"-"&amp;$D2527,'Bill Report Reference'!$I$2:$I$60,0)),"")</f>
        <v>https://www.govinfo.gov/content/pkg/CRPT-117hrpt403/pdf/CRPT-117hrpt403.pdf</v>
      </c>
      <c r="U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Reference'!$E$2:$E$60,MATCH(INDEX(Account!$J$2:$J$131,MATCH($B2528,Account!$A$2:$A$131,0))&amp;"-"&amp;$C2528&amp;"-"&amp;$D2528,'Bill Report Reference'!$I$2:$I$60,0)),"")</f>
        <v>PREX 2.8:2023/APP</v>
      </c>
      <c r="G2528" s="7" t="str">
        <f>IFERROR(""&amp;INDEX('Bill Report Reference'!$F$2:$F$60,MATCH(INDEX(Account!$J$2:$J$131,MATCH($B2528,Account!$A$2:$A$131,0))&amp;"-"&amp;$C2528&amp;"-"&amp;$D2528,'Bill Report Reference'!$I$2:$I$60,0)),"")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unverified</t>
        </is>
      </c>
      <c r="S2528" s="7" t="str">
        <f>IFERROR(""&amp;INDEX('Bill Report Reference'!$G$2:$G$60,MATCH(INDEX(Account!$J$2:$J$131,MATCH($B2528,Account!$A$2:$A$131,0))&amp;"-"&amp;$C2528&amp;"-"&amp;$D2528,'Bill Report Reference'!$I$2:$I$60,0)),"")</f>
        <v>https://www.govinfo.gov/content/pkg/BUDGET-2023-APP/pdf/BUDGET-2023-APP.pdf</v>
      </c>
      <c r="T2528" s="7" t="str">
        <f>IFERROR(""&amp;INDEX('Bill Report Reference'!$H$2:$H$60,MATCH(INDEX(Account!$J$2:$J$131,MATCH($B2528,Account!$A$2:$A$131,0))&amp;"-"&amp;$C2528&amp;"-"&amp;$D2528,'Bill Report Reference'!$I$2:$I$60,0)),"")</f>
        <v>N/A</v>
      </c>
      <c r="U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Reference'!$E$2:$E$60,MATCH(INDEX(Account!$J$2:$J$131,MATCH($B2529,Account!$A$2:$A$131,0))&amp;"-"&amp;$C2529&amp;"-"&amp;$D2529,'Bill Report Reference'!$I$2:$I$60,0)),"")</f>
        <v>S.4659</v>
      </c>
      <c r="G2529" s="7" t="str">
        <f>IFERROR(""&amp;INDEX('Bill Report Reference'!$F$2:$F$60,MATCH(INDEX(Account!$J$2:$J$131,MATCH($B2529,Account!$A$2:$A$131,0))&amp;"-"&amp;$C2529&amp;"-"&amp;$D2529,'Bill Report Reference'!$I$2:$I$60,0)),"")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Reference'!$G$2:$G$60,MATCH(INDEX(Account!$J$2:$J$131,MATCH($B2529,Account!$A$2:$A$131,0))&amp;"-"&amp;$C2529&amp;"-"&amp;$D2529,'Bill Report Reference'!$I$2:$I$60,0)),"")</f>
        <v>https://www.govinfo.gov/content/pkg/BILLS-117s4659is/pdf/BILLS-117s4659is.pdf</v>
      </c>
      <c r="T2529" s="7" t="str">
        <f>IFERROR(""&amp;INDEX('Bill Report Reference'!$H$2:$H$60,MATCH(INDEX(Account!$J$2:$J$131,MATCH($B2529,Account!$A$2:$A$131,0))&amp;"-"&amp;$C2529&amp;"-"&amp;$D2529,'Bill Report Reference'!$I$2:$I$60,0)),"")</f>
        <v>https://www.appropriations.senate.gov/imo/media/doc/LHHSFY23REPT.pdf</v>
      </c>
      <c r="U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Reference'!$E$2:$E$60,MATCH(INDEX(Account!$J$2:$J$131,MATCH($B2535,Account!$A$2:$A$131,0))&amp;"-"&amp;$C2535&amp;"-"&amp;$D2535,'Bill Report Reference'!$I$2:$I$60,0)),"")</f>
        <v>P.L.117-328</v>
      </c>
      <c r="G2535" s="7" t="str">
        <f>IFERROR(""&amp;INDEX('Bill Report Reference'!$F$2:$F$60,MATCH(INDEX(Account!$J$2:$J$131,MATCH($B2535,Account!$A$2:$A$131,0))&amp;"-"&amp;$C2535&amp;"-"&amp;$D2535,'Bill Report Reference'!$I$2:$I$60,0)),"")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Reference'!$G$2:$G$60,MATCH(INDEX(Account!$J$2:$J$131,MATCH($B2535,Account!$A$2:$A$131,0))&amp;"-"&amp;$C2535&amp;"-"&amp;$D2535,'Bill Report Reference'!$I$2:$I$60,0)),"")</f>
        <v>https://www.govinfo.gov/content/pkg/PLAW-117publ328/pdf/PLAW-117publ328.pdf</v>
      </c>
      <c r="T2535" s="7" t="str">
        <f>IFERROR(""&amp;INDEX('Bill Report Reference'!$H$2:$H$60,MATCH(INDEX(Account!$J$2:$J$131,MATCH($B2535,Account!$A$2:$A$131,0))&amp;"-"&amp;$C2535&amp;"-"&amp;$D2535,'Bill Report Reference'!$I$2:$I$60,0)),"")</f>
        <v>N/A</v>
      </c>
      <c r="U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Reference'!$E$2:$E$60,MATCH(INDEX(Account!$J$2:$J$131,MATCH($B2540,Account!$A$2:$A$131,0))&amp;"-"&amp;$C2540&amp;"-"&amp;$D2540,'Bill Report Reference'!$I$2:$I$60,0)),"")</f>
        <v>PREX 2.8:2024/APP</v>
      </c>
      <c r="G2540" s="7" t="str">
        <f>IFERROR(""&amp;INDEX('Bill Report Reference'!$F$2:$F$60,MATCH(INDEX(Account!$J$2:$J$131,MATCH($B2540,Account!$A$2:$A$131,0))&amp;"-"&amp;$C2540&amp;"-"&amp;$D2540,'Bill Report Reference'!$I$2:$I$60,0)),"")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Reference'!$G$2:$G$60,MATCH(INDEX(Account!$J$2:$J$131,MATCH($B2540,Account!$A$2:$A$131,0))&amp;"-"&amp;$C2540&amp;"-"&amp;$D2540,'Bill Report Reference'!$I$2:$I$60,0)),"")</f>
        <v>https://www.govinfo.gov/content/pkg/BUDGET-2024-APP/pdf/BUDGET-2024-APP.pdf</v>
      </c>
      <c r="T2540" s="7" t="str">
        <f>IFERROR(""&amp;INDEX('Bill Report Reference'!$H$2:$H$60,MATCH(INDEX(Account!$J$2:$J$131,MATCH($B2540,Account!$A$2:$A$131,0))&amp;"-"&amp;$C2540&amp;"-"&amp;$D2540,'Bill Report Reference'!$I$2:$I$60,0)),"")</f>
        <v>N/A</v>
      </c>
      <c r="U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Reference'!$E$2:$E$60,MATCH(INDEX(Account!$J$2:$J$131,MATCH($B2541,Account!$A$2:$A$131,0))&amp;"-"&amp;$C2541&amp;"-"&amp;$D2541,'Bill Report Reference'!$I$2:$I$60,0)),"")</f>
        <v>S.2624</v>
      </c>
      <c r="G2541" s="7" t="str">
        <f>IFERROR(""&amp;INDEX('Bill Report Reference'!$F$2:$F$60,MATCH(INDEX(Account!$J$2:$J$131,MATCH($B2541,Account!$A$2:$A$131,0))&amp;"-"&amp;$C2541&amp;"-"&amp;$D2541,'Bill Report Reference'!$I$2:$I$60,0)),"")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Reference'!$G$2:$G$60,MATCH(INDEX(Account!$J$2:$J$131,MATCH($B2541,Account!$A$2:$A$131,0))&amp;"-"&amp;$C2541&amp;"-"&amp;$D2541,'Bill Report Reference'!$I$2:$I$60,0)),"")</f>
        <v>https://www.govinfo.gov/content/pkg/BILLS-118s2624rs/pdf/BILLS-118s2624rs.pdf</v>
      </c>
      <c r="T2541" s="7" t="str">
        <f>IFERROR(""&amp;INDEX('Bill Report Reference'!$H$2:$H$60,MATCH(INDEX(Account!$J$2:$J$131,MATCH($B2541,Account!$A$2:$A$131,0))&amp;"-"&amp;$C2541&amp;"-"&amp;$D2541,'Bill Report Reference'!$I$2:$I$60,0)),"")</f>
        <v>https://www.congress.gov/118/crpt/srpt84/CRPT-118srpt84.pdf</v>
      </c>
      <c r="U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Reference'!$E$2:$E$60,MATCH(INDEX(Account!$J$2:$J$131,MATCH($B2620,Account!$A$2:$A$131,0))&amp;"-"&amp;$C2620&amp;"-"&amp;$D2620,'Bill Report Reference'!$I$2:$I$60,0)),"")</f>
        <v>H.R.5894</v>
      </c>
      <c r="G2620" s="7" t="str">
        <f>IFERROR(""&amp;INDEX('Bill Report Reference'!$F$2:$F$60,MATCH(INDEX(Account!$J$2:$J$131,MATCH($B2620,Account!$A$2:$A$131,0))&amp;"-"&amp;$C2620&amp;"-"&amp;$D2620,'Bill Report Reference'!$I$2:$I$60,0)),"")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Reference'!$G$2:$G$60,MATCH(INDEX(Account!$J$2:$J$131,MATCH($B2620,Account!$A$2:$A$131,0))&amp;"-"&amp;$C2620&amp;"-"&amp;$D2620,'Bill Report Reference'!$I$2:$I$60,0)),"")</f>
        <v>https://www.govinfo.gov/content/pkg/BILLS-118hr5894ih/pdf/BILLS-118hr5894ih.pdf</v>
      </c>
      <c r="T2620" s="7" t="str">
        <f>IFERROR(""&amp;INDEX('Bill Report Reference'!$H$2:$H$60,MATCH(INDEX(Account!$J$2:$J$131,MATCH($B2620,Account!$A$2:$A$131,0))&amp;"-"&amp;$C2620&amp;"-"&amp;$D2620,'Bill Report Reference'!$I$2:$I$60,0)),"")</f>
        <v>https://appropriations.house.gov/sites/evo-subsites/republicans-appropriations.house.gov/files/FY24-LHHS-Explanatory-Materials.pdf</v>
      </c>
      <c r="U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Reference'!$E$2:$E$60,MATCH(INDEX(Account!$J$2:$J$131,MATCH($B2628,Account!$A$2:$A$131,0))&amp;"-"&amp;$C2628&amp;"-"&amp;$D2628,'Bill Report Reference'!$I$2:$I$60,0)),"")</f>
        <v>H.R.5894</v>
      </c>
      <c r="G2628" s="10" t="str">
        <f>IFERROR(""&amp;INDEX('Bill Report Reference'!$F$2:$F$60,MATCH(INDEX(Account!$J$2:$J$131,MATCH($B2628,Account!$A$2:$A$131,0))&amp;"-"&amp;$C2628&amp;"-"&amp;$D2628,'Bill Report Reference'!$I$2:$I$60,0)),"")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Reference'!$G$2:$G$60,MATCH(INDEX(Account!$J$2:$J$131,MATCH($B2628,Account!$A$2:$A$131,0))&amp;"-"&amp;$C2628&amp;"-"&amp;$D2628,'Bill Report Reference'!$I$2:$I$60,0)),"")</f>
        <v>https://www.govinfo.gov/content/pkg/BILLS-118hr5894ih/pdf/BILLS-118hr5894ih.pdf</v>
      </c>
      <c r="T2628" s="10" t="str">
        <f>IFERROR(""&amp;INDEX('Bill Report Reference'!$H$2:$H$60,MATCH(INDEX(Account!$J$2:$J$131,MATCH($B2628,Account!$A$2:$A$131,0))&amp;"-"&amp;$C2628&amp;"-"&amp;$D2628,'Bill Report Reference'!$I$2:$I$60,0)),"")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Reference'!$E$2:$E$60,MATCH(INDEX(Account!$J$2:$J$131,MATCH($B2652,Account!$A$2:$A$131,0))&amp;"-"&amp;$C2652&amp;"-"&amp;$D2652,'Bill Report Reference'!$I$2:$I$60,0)),"")</f>
        <v>H.R.5894</v>
      </c>
      <c r="G2652" s="7" t="str">
        <f>IFERROR(""&amp;INDEX('Bill Report Reference'!$F$2:$F$60,MATCH(INDEX(Account!$J$2:$J$131,MATCH($B2652,Account!$A$2:$A$131,0))&amp;"-"&amp;$C2652&amp;"-"&amp;$D2652,'Bill Report Reference'!$I$2:$I$60,0)),"")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Reference'!$G$2:$G$60,MATCH(INDEX(Account!$J$2:$J$131,MATCH($B2652,Account!$A$2:$A$131,0))&amp;"-"&amp;$C2652&amp;"-"&amp;$D2652,'Bill Report Reference'!$I$2:$I$60,0)),"")</f>
        <v>https://www.govinfo.gov/content/pkg/BILLS-118hr5894ih/pdf/BILLS-118hr5894ih.pdf</v>
      </c>
      <c r="T2652" s="7" t="str">
        <f>IFERROR(""&amp;INDEX('Bill Report Reference'!$H$2:$H$60,MATCH(INDEX(Account!$J$2:$J$131,MATCH($B2652,Account!$A$2:$A$131,0))&amp;"-"&amp;$C2652&amp;"-"&amp;$D2652,'Bill Report Reference'!$I$2:$I$60,0)),"")</f>
        <v>https://appropriations.house.gov/sites/evo-subsites/republicans-appropriations.house.gov/files/FY24-LHHS-Explanatory-Materials.pdf</v>
      </c>
      <c r="U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Reference'!$E$2:$E$60,MATCH(INDEX(Account!$J$2:$J$131,MATCH($B2698,Account!$A$2:$A$131,0))&amp;"-"&amp;$C2698&amp;"-"&amp;$D2698,'Bill Report Reference'!$I$2:$I$60,0)),"")</f>
        <v>H.R.5894</v>
      </c>
      <c r="G2698" s="7" t="str">
        <f>IFERROR(""&amp;INDEX('Bill Report Reference'!$F$2:$F$60,MATCH(INDEX(Account!$J$2:$J$131,MATCH($B2698,Account!$A$2:$A$131,0))&amp;"-"&amp;$C2698&amp;"-"&amp;$D2698,'Bill Report Reference'!$I$2:$I$60,0)),"")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Reference'!$G$2:$G$60,MATCH(INDEX(Account!$J$2:$J$131,MATCH($B2698,Account!$A$2:$A$131,0))&amp;"-"&amp;$C2698&amp;"-"&amp;$D2698,'Bill Report Reference'!$I$2:$I$60,0)),"")</f>
        <v>https://www.govinfo.gov/content/pkg/BILLS-118hr5894ih/pdf/BILLS-118hr5894ih.pdf</v>
      </c>
      <c r="T2698" s="7" t="str">
        <f>IFERROR(""&amp;INDEX('Bill Report Reference'!$H$2:$H$60,MATCH(INDEX(Account!$J$2:$J$131,MATCH($B2698,Account!$A$2:$A$131,0))&amp;"-"&amp;$C2698&amp;"-"&amp;$D2698,'Bill Report Reference'!$I$2:$I$60,0)),"")</f>
        <v>https://appropriations.house.gov/sites/evo-subsites/republicans-appropriations.house.gov/files/FY24-LHHS-Explanatory-Materials.pdf</v>
      </c>
      <c r="U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Reference'!$E$2:$E$60,MATCH(INDEX(Account!$J$2:$J$131,MATCH($B2703,Account!$A$2:$A$131,0))&amp;"-"&amp;$C2703&amp;"-"&amp;$D2703,'Bill Report Reference'!$I$2:$I$60,0)),"")</f>
        <v>H.R.5894</v>
      </c>
      <c r="G2703" s="7" t="str">
        <f>IFERROR(""&amp;INDEX('Bill Report Reference'!$F$2:$F$60,MATCH(INDEX(Account!$J$2:$J$131,MATCH($B2703,Account!$A$2:$A$131,0))&amp;"-"&amp;$C2703&amp;"-"&amp;$D2703,'Bill Report Reference'!$I$2:$I$60,0)),"")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Reference'!$G$2:$G$60,MATCH(INDEX(Account!$J$2:$J$131,MATCH($B2703,Account!$A$2:$A$131,0))&amp;"-"&amp;$C2703&amp;"-"&amp;$D2703,'Bill Report Reference'!$I$2:$I$60,0)),"")</f>
        <v>https://www.govinfo.gov/content/pkg/BILLS-118hr5894ih/pdf/BILLS-118hr5894ih.pdf</v>
      </c>
      <c r="T2703" s="7" t="str">
        <f>IFERROR(""&amp;INDEX('Bill Report Reference'!$H$2:$H$60,MATCH(INDEX(Account!$J$2:$J$131,MATCH($B2703,Account!$A$2:$A$131,0))&amp;"-"&amp;$C2703&amp;"-"&amp;$D2703,'Bill Report Reference'!$I$2:$I$60,0)),"")</f>
        <v>https://appropriations.house.gov/sites/evo-subsites/republicans-appropriations.house.gov/files/FY24-LHHS-Explanatory-Materials.pdf</v>
      </c>
      <c r="U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Reference'!$E$2:$E$60,MATCH(INDEX(Account!$J$2:$J$131,MATCH($B2704,Account!$A$2:$A$131,0))&amp;"-"&amp;$C2704&amp;"-"&amp;$D2704,'Bill Report Reference'!$I$2:$I$60,0)),"")</f>
        <v>H.R.5894</v>
      </c>
      <c r="G2704" s="7" t="str">
        <f>IFERROR(""&amp;INDEX('Bill Report Reference'!$F$2:$F$60,MATCH(INDEX(Account!$J$2:$J$131,MATCH($B2704,Account!$A$2:$A$131,0))&amp;"-"&amp;$C2704&amp;"-"&amp;$D2704,'Bill Report Reference'!$I$2:$I$60,0)),"")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Reference'!$G$2:$G$60,MATCH(INDEX(Account!$J$2:$J$131,MATCH($B2704,Account!$A$2:$A$131,0))&amp;"-"&amp;$C2704&amp;"-"&amp;$D2704,'Bill Report Reference'!$I$2:$I$60,0)),"")</f>
        <v>https://www.govinfo.gov/content/pkg/BILLS-118hr5894ih/pdf/BILLS-118hr5894ih.pdf</v>
      </c>
      <c r="T2704" s="7" t="str">
        <f>IFERROR(""&amp;INDEX('Bill Report Reference'!$H$2:$H$60,MATCH(INDEX(Account!$J$2:$J$131,MATCH($B2704,Account!$A$2:$A$131,0))&amp;"-"&amp;$C2704&amp;"-"&amp;$D2704,'Bill Report Reference'!$I$2:$I$60,0)),"")</f>
        <v>https://appropriations.house.gov/sites/evo-subsites/republicans-appropriations.house.gov/files/FY24-LHHS-Explanatory-Materials.pdf</v>
      </c>
      <c r="U2704" s="7" t="inlineStr"/>
    </row>
  </sheetData>
  <dataValidations count="6">
    <dataValidation sqref="D2:D2704" showDropDown="0" showInputMessage="0" showErrorMessage="0" allowBlank="1" type="list">
      <formula1>"President's Budget,House Reported,Senate Reported,Enacted,House Passed,Senate Passed"</formula1>
    </dataValidation>
    <dataValidation sqref="E2:E2704" showDropDown="0" showInputMessage="0" showErrorMessage="0" allowBlank="1" type="list">
      <formula1>"House,Senate,N/A"</formula1>
    </dataValidation>
    <dataValidation sqref="I2:I2704" showDropDown="0" showInputMessage="0" showErrorMessage="0" allowBlank="1" type="list">
      <formula1>"budget authority,obligation,outlay,rescission,transfer,offsetting_collection,supplemental,advance,prior_year_advance,other"</formula1>
    </dataValidation>
    <dataValidation sqref="K2:K2704" showDropDown="0" showInputMessage="0" showErrorMessage="0" allowBlank="1" type="list">
      <formula1>"TRUE,FALSE"</formula1>
    </dataValidation>
    <dataValidation sqref="P2:P2704" showDropDown="0" showInputMessage="0" showErrorMessage="0" allowBlank="1" type="list">
      <formula1>"AI-extracted,human-entered,hybrid,text-extracted"</formula1>
    </dataValidation>
    <dataValidation sqref="R2:R270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sheetData>
  <dataValidations count="2">
    <dataValidation sqref="D2:D38"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8"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sheetData>
  <dataValidations count="3">
    <dataValidation sqref="C2:C7268" showDropDown="0" showInputMessage="0" showErrorMessage="0" allowBlank="1" type="list">
      <formula1>"source_text,structural,table_total,cross_document,historical,account_identity,unit,semantic"</formula1>
    </dataValidation>
    <dataValidation sqref="F2:F7268" showDropDown="0" showInputMessage="0" showErrorMessage="0" allowBlank="1" type="list">
      <formula1>"pass,fail,flag"</formula1>
    </dataValidation>
    <dataValidation sqref="G2:G7268"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2026-10-08T14:59:10Z</dcterms:created>
  <dcterms:modified xsi:type="dcterms:W3CDTF">2026-10-08T14:59:10Z</dcterms:modified>
</cp:coreProperties>
</file>